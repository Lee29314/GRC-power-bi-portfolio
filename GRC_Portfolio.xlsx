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8_{4207C73A-B4CE-4D59-97AC-8D300ACDDBE0}" xr6:coauthVersionLast="47" xr6:coauthVersionMax="47" xr10:uidLastSave="{00000000-0000-0000-0000-000000000000}"/>
  <bookViews>
    <workbookView xWindow="-120" yWindow="-120" windowWidth="24240" windowHeight="13020" xr2:uid="{4CFC5ADB-13ED-44BA-BE0B-C7B4CB7AF57B}"/>
  </bookViews>
  <sheets>
    <sheet name="0. Cover Page" sheetId="1" r:id="rId1"/>
    <sheet name="1. User Guide" sheetId="2" r:id="rId2"/>
    <sheet name="2. Risk Register" sheetId="3" r:id="rId3"/>
    <sheet name="3. Control Library" sheetId="4" r:id="rId4"/>
    <sheet name="4. Incident Log" sheetId="5" r:id="rId5"/>
    <sheet name="5. Audit Schedule" sheetId="6" r:id="rId6"/>
    <sheet name="6. Vendor Risk" sheetId="7" r:id="rId7"/>
    <sheet name="7. Policy Manager" sheetId="8" r:id="rId8"/>
    <sheet name="8. Framework Mapping" sheetId="9" r:id="rId9"/>
    <sheet name="9. Executive Dashboard" sheetId="10" r:id="rId10"/>
    <sheet name="10. Risk Heat Map" sheetId="11" r:id="rId11"/>
    <sheet name="11. Data Dictionary" sheetId="12" r:id="rId12"/>
    <sheet name="12. Scenario Analysi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1" l="1"/>
  <c r="E7" i="11"/>
  <c r="D7" i="11"/>
  <c r="C7" i="11"/>
  <c r="B7" i="11"/>
  <c r="F6" i="11"/>
  <c r="E6" i="11"/>
  <c r="D6" i="11"/>
  <c r="C6" i="11"/>
  <c r="B6" i="11"/>
  <c r="F5" i="11"/>
  <c r="E5" i="11"/>
  <c r="D5" i="11"/>
  <c r="C5" i="11"/>
  <c r="B5" i="11"/>
  <c r="F4" i="11"/>
  <c r="E4" i="11"/>
  <c r="D4" i="11"/>
  <c r="C4" i="11"/>
  <c r="B4" i="11"/>
  <c r="F3" i="11"/>
  <c r="E3" i="11"/>
  <c r="D3" i="11"/>
  <c r="C3" i="11"/>
  <c r="B3" i="11"/>
  <c r="L6" i="10"/>
  <c r="K6" i="10"/>
  <c r="J6" i="10"/>
  <c r="I6" i="10"/>
  <c r="H6" i="10"/>
  <c r="L5" i="10"/>
  <c r="K5" i="10"/>
  <c r="J5" i="10"/>
  <c r="I5" i="10"/>
  <c r="H5" i="10"/>
  <c r="L4" i="10"/>
  <c r="K4" i="10"/>
  <c r="J4" i="10"/>
  <c r="I4" i="10"/>
  <c r="H4" i="10"/>
  <c r="L3" i="10"/>
  <c r="K3" i="10"/>
  <c r="J3" i="10"/>
  <c r="I3" i="10"/>
  <c r="H3" i="10"/>
  <c r="L2" i="10"/>
  <c r="K2" i="10"/>
  <c r="J2" i="10"/>
  <c r="I2" i="10"/>
  <c r="F12" i="10"/>
  <c r="E12" i="10"/>
  <c r="F11" i="10"/>
  <c r="E11" i="10"/>
  <c r="F10" i="10"/>
  <c r="E10" i="10"/>
  <c r="F9" i="10"/>
  <c r="E9" i="10"/>
  <c r="F8" i="10"/>
  <c r="E8" i="10"/>
  <c r="F7" i="10"/>
  <c r="E7" i="10"/>
  <c r="F6" i="10"/>
  <c r="E6" i="10"/>
  <c r="F5" i="10"/>
  <c r="E5" i="10"/>
  <c r="F4" i="10"/>
  <c r="E4" i="10"/>
  <c r="F3" i="10"/>
  <c r="E3" i="10"/>
  <c r="B7" i="10"/>
  <c r="B6" i="10"/>
  <c r="B5" i="10"/>
  <c r="B4" i="10"/>
  <c r="B3" i="10"/>
</calcChain>
</file>

<file path=xl/sharedStrings.xml><?xml version="1.0" encoding="utf-8"?>
<sst xmlns="http://schemas.openxmlformats.org/spreadsheetml/2006/main" count="7041" uniqueCount="1844">
  <si>
    <t>ENTERPRISE GRC MANAGEMENT SYSTEM</t>
  </si>
  <si>
    <t>Governance, Risk &amp; Compliance Portfolio</t>
  </si>
  <si>
    <t>Version: 2.0</t>
  </si>
  <si>
    <t>Date: 2026/07/29</t>
  </si>
  <si>
    <t>Department: Risk Management</t>
  </si>
  <si>
    <t>© 2026 All Rights Reserved</t>
  </si>
  <si>
    <t>USER GUIDE - GRC MANAGEMENT SYSTEM</t>
  </si>
  <si>
    <t>Sheet Name</t>
  </si>
  <si>
    <t>Description</t>
  </si>
  <si>
    <t>Key Columns</t>
  </si>
  <si>
    <t>2. Risk Register</t>
  </si>
  <si>
    <t>All enterprise risks with inherent &amp; residual scores</t>
  </si>
  <si>
    <t>RiskID, Category, Inherent, Residual, Status</t>
  </si>
  <si>
    <t>3. Control Library</t>
  </si>
  <si>
    <t>All controls mapped to risks and frameworks</t>
  </si>
  <si>
    <t>ControlID, RiskID, Type, Effectiveness</t>
  </si>
  <si>
    <t>4. Incident Log</t>
  </si>
  <si>
    <t>Security and compliance incidents</t>
  </si>
  <si>
    <t>IncidentID, Type, Severity, Status, Cost</t>
  </si>
  <si>
    <t>5. Audit Schedule</t>
  </si>
  <si>
    <t>Internal/external audit calendar</t>
  </si>
  <si>
    <t>AuditID, Type, Scope, Status, Findings</t>
  </si>
  <si>
    <t>6. Vendor Risk</t>
  </si>
  <si>
    <t>Third-party vendor risk assessments</t>
  </si>
  <si>
    <t>VendorID, Category, RiskScore, Status</t>
  </si>
  <si>
    <t>7. Policy Manager</t>
  </si>
  <si>
    <t>Policies with review dates and approval</t>
  </si>
  <si>
    <t>PolicyID, Status, ReviewDate, Owner</t>
  </si>
  <si>
    <t>8. Framework Mapping</t>
  </si>
  <si>
    <t>ISO 27001, NIST, POPIA, PCI DSS mapping</t>
  </si>
  <si>
    <t>Framework, Control, Status</t>
  </si>
  <si>
    <t>9. Executive Dashboard</t>
  </si>
  <si>
    <t>KPI cards, charts, heat map</t>
  </si>
  <si>
    <t>All key metrics</t>
  </si>
  <si>
    <t>10. Risk Heat Map</t>
  </si>
  <si>
    <t>5x5 dynamic risk visualization</t>
  </si>
  <si>
    <t>Likelihood x Impact</t>
  </si>
  <si>
    <t>RiskID</t>
  </si>
  <si>
    <t>Risk Category</t>
  </si>
  <si>
    <t>Risk Description</t>
  </si>
  <si>
    <t>Inherent Likelihood (1-5)</t>
  </si>
  <si>
    <t>Inherent Impact (1-5)</t>
  </si>
  <si>
    <t>Inherent Score</t>
  </si>
  <si>
    <t>Control Effectiveness (%)</t>
  </si>
  <si>
    <t>Residual Likelihood</t>
  </si>
  <si>
    <t>Residual Impact</t>
  </si>
  <si>
    <t>Residual Score</t>
  </si>
  <si>
    <t>Risk Owner</t>
  </si>
  <si>
    <t>Status</t>
  </si>
  <si>
    <t>Last Review</t>
  </si>
  <si>
    <t>Next Review</t>
  </si>
  <si>
    <t>Risk Level</t>
  </si>
  <si>
    <t>RISK-001</t>
  </si>
  <si>
    <t>Human Resources</t>
  </si>
  <si>
    <t>Project delay</t>
  </si>
  <si>
    <t>CISO</t>
  </si>
  <si>
    <t>Transfered</t>
  </si>
  <si>
    <t>Critical</t>
  </si>
  <si>
    <t>RISK-002</t>
  </si>
  <si>
    <t>Ransomware attack</t>
  </si>
  <si>
    <t>Head of HR</t>
  </si>
  <si>
    <t>Mitigated</t>
  </si>
  <si>
    <t>RISK-003</t>
  </si>
  <si>
    <t>Strategic</t>
  </si>
  <si>
    <t>Pandemic</t>
  </si>
  <si>
    <t>CEO</t>
  </si>
  <si>
    <t>Accepted</t>
  </si>
  <si>
    <t>Medium</t>
  </si>
  <si>
    <t>RISK-004</t>
  </si>
  <si>
    <t>Technology</t>
  </si>
  <si>
    <t>Third-party failure</t>
  </si>
  <si>
    <t>RISK-005</t>
  </si>
  <si>
    <t>DDoS attack</t>
  </si>
  <si>
    <t>CIO</t>
  </si>
  <si>
    <t>Monitoring</t>
  </si>
  <si>
    <t>RISK-006</t>
  </si>
  <si>
    <t>Data Privacy</t>
  </si>
  <si>
    <t>Cloud misconfiguration</t>
  </si>
  <si>
    <t>COO</t>
  </si>
  <si>
    <t>RISK-007</t>
  </si>
  <si>
    <t>Market volatility</t>
  </si>
  <si>
    <t>RISK-008</t>
  </si>
  <si>
    <t>Financial</t>
  </si>
  <si>
    <t>Harassment claim</t>
  </si>
  <si>
    <t>Active</t>
  </si>
  <si>
    <t>RISK-009</t>
  </si>
  <si>
    <t>RISK-010</t>
  </si>
  <si>
    <t>Sanctions breach</t>
  </si>
  <si>
    <t>RISK-011</t>
  </si>
  <si>
    <t>Third-Party</t>
  </si>
  <si>
    <t>Credit risk</t>
  </si>
  <si>
    <t>CFO</t>
  </si>
  <si>
    <t>RISK-012</t>
  </si>
  <si>
    <t>RISK-013</t>
  </si>
  <si>
    <t>Safety incident</t>
  </si>
  <si>
    <t>RISK-014</t>
  </si>
  <si>
    <t>Legal</t>
  </si>
  <si>
    <t>Unauthorized system access</t>
  </si>
  <si>
    <t>DPO</t>
  </si>
  <si>
    <t>RISK-015</t>
  </si>
  <si>
    <t>Budget overrun</t>
  </si>
  <si>
    <t>RISK-016</t>
  </si>
  <si>
    <t>Trade secret theft</t>
  </si>
  <si>
    <t>RISK-017</t>
  </si>
  <si>
    <t>Phishing campaign</t>
  </si>
  <si>
    <t>RISK-018</t>
  </si>
  <si>
    <t>RISK-019</t>
  </si>
  <si>
    <t>Operational</t>
  </si>
  <si>
    <t>Liquidity risk</t>
  </si>
  <si>
    <t>RISK-020</t>
  </si>
  <si>
    <t>RISK-021</t>
  </si>
  <si>
    <t>RISK-022</t>
  </si>
  <si>
    <t>Head of Legal</t>
  </si>
  <si>
    <t>RISK-023</t>
  </si>
  <si>
    <t>Terrorist threat</t>
  </si>
  <si>
    <t>RISK-024</t>
  </si>
  <si>
    <t>Currency fluctuation</t>
  </si>
  <si>
    <t>RISK-025</t>
  </si>
  <si>
    <t>Fraud</t>
  </si>
  <si>
    <t>RISK-026</t>
  </si>
  <si>
    <t>Product defect</t>
  </si>
  <si>
    <t>RISK-027</t>
  </si>
  <si>
    <t>Cybersecurity</t>
  </si>
  <si>
    <t>Insider threat</t>
  </si>
  <si>
    <t>RISK-028</t>
  </si>
  <si>
    <t>CTO</t>
  </si>
  <si>
    <t>RISK-029</t>
  </si>
  <si>
    <t>RISK-030</t>
  </si>
  <si>
    <t>RISK-031</t>
  </si>
  <si>
    <t>Natural disaster</t>
  </si>
  <si>
    <t>RISK-032</t>
  </si>
  <si>
    <t>System outage</t>
  </si>
  <si>
    <t>RISK-033</t>
  </si>
  <si>
    <t>RISK-034</t>
  </si>
  <si>
    <t>Data loss</t>
  </si>
  <si>
    <t>RISK-035</t>
  </si>
  <si>
    <t>Insider trading</t>
  </si>
  <si>
    <t>RISK-036</t>
  </si>
  <si>
    <t>RISK-037</t>
  </si>
  <si>
    <t>Bribery</t>
  </si>
  <si>
    <t>RISK-038</t>
  </si>
  <si>
    <t>Compliance</t>
  </si>
  <si>
    <t>RISK-039</t>
  </si>
  <si>
    <t>RISK-040</t>
  </si>
  <si>
    <t>RISK-041</t>
  </si>
  <si>
    <t>Warranty claim</t>
  </si>
  <si>
    <t>RISK-042</t>
  </si>
  <si>
    <t>RISK-043</t>
  </si>
  <si>
    <t>Contract dispute</t>
  </si>
  <si>
    <t>RISK-044</t>
  </si>
  <si>
    <t>Export violation</t>
  </si>
  <si>
    <t>RISK-045</t>
  </si>
  <si>
    <t>Breach of confidentiality</t>
  </si>
  <si>
    <t>RISK-046</t>
  </si>
  <si>
    <t>RISK-047</t>
  </si>
  <si>
    <t>RISK-048</t>
  </si>
  <si>
    <t>Zero-day exploit</t>
  </si>
  <si>
    <t>RISK-049</t>
  </si>
  <si>
    <t>Identity theft</t>
  </si>
  <si>
    <t>CRO</t>
  </si>
  <si>
    <t>RISK-050</t>
  </si>
  <si>
    <t>Resource shortage</t>
  </si>
  <si>
    <t>RISK-051</t>
  </si>
  <si>
    <t>RISK-052</t>
  </si>
  <si>
    <t>RISK-053</t>
  </si>
  <si>
    <t>RISK-054</t>
  </si>
  <si>
    <t>RISK-055</t>
  </si>
  <si>
    <t>RISK-056</t>
  </si>
  <si>
    <t>Skill gap</t>
  </si>
  <si>
    <t>RISK-057</t>
  </si>
  <si>
    <t>RISK-058</t>
  </si>
  <si>
    <t>Turnover</t>
  </si>
  <si>
    <t>RISK-059</t>
  </si>
  <si>
    <t>RISK-060</t>
  </si>
  <si>
    <t>RISK-061</t>
  </si>
  <si>
    <t>Spyware</t>
  </si>
  <si>
    <t>RISK-062</t>
  </si>
  <si>
    <t>RISK-063</t>
  </si>
  <si>
    <t>RISK-064</t>
  </si>
  <si>
    <t>Patent infringement</t>
  </si>
  <si>
    <t>RISK-065</t>
  </si>
  <si>
    <t>RISK-066</t>
  </si>
  <si>
    <t>Compliance violation</t>
  </si>
  <si>
    <t>RISK-067</t>
  </si>
  <si>
    <t>RISK-068</t>
  </si>
  <si>
    <t>RISK-069</t>
  </si>
  <si>
    <t>Conflict of interest</t>
  </si>
  <si>
    <t>RISK-070</t>
  </si>
  <si>
    <t>RISK-071</t>
  </si>
  <si>
    <t>RISK-072</t>
  </si>
  <si>
    <t>RISK-073</t>
  </si>
  <si>
    <t>RISK-074</t>
  </si>
  <si>
    <t>RISK-075</t>
  </si>
  <si>
    <t>RISK-076</t>
  </si>
  <si>
    <t>RISK-077</t>
  </si>
  <si>
    <t>API vulnerability</t>
  </si>
  <si>
    <t>RISK-078</t>
  </si>
  <si>
    <t>RISK-079</t>
  </si>
  <si>
    <t>RISK-080</t>
  </si>
  <si>
    <t>RISK-081</t>
  </si>
  <si>
    <t>RISK-082</t>
  </si>
  <si>
    <t>RISK-083</t>
  </si>
  <si>
    <t>RISK-084</t>
  </si>
  <si>
    <t>RISK-085</t>
  </si>
  <si>
    <t>RISK-086</t>
  </si>
  <si>
    <t>Political instability</t>
  </si>
  <si>
    <t>RISK-087</t>
  </si>
  <si>
    <t>RISK-088</t>
  </si>
  <si>
    <t>RISK-089</t>
  </si>
  <si>
    <t>RISK-090</t>
  </si>
  <si>
    <t>RISK-091</t>
  </si>
  <si>
    <t>RISK-092</t>
  </si>
  <si>
    <t>RISK-093</t>
  </si>
  <si>
    <t>RISK-094</t>
  </si>
  <si>
    <t>RISK-095</t>
  </si>
  <si>
    <t>Regulatory fine</t>
  </si>
  <si>
    <t>RISK-096</t>
  </si>
  <si>
    <t>RISK-097</t>
  </si>
  <si>
    <t>RISK-098</t>
  </si>
  <si>
    <t>RISK-099</t>
  </si>
  <si>
    <t>Corruption</t>
  </si>
  <si>
    <t>RISK-100</t>
  </si>
  <si>
    <t>RISK-101</t>
  </si>
  <si>
    <t>RISK-102</t>
  </si>
  <si>
    <t>RISK-103</t>
  </si>
  <si>
    <t>RISK-104</t>
  </si>
  <si>
    <t>RISK-105</t>
  </si>
  <si>
    <t>RISK-106</t>
  </si>
  <si>
    <t>RISK-107</t>
  </si>
  <si>
    <t>RISK-108</t>
  </si>
  <si>
    <t>RISK-109</t>
  </si>
  <si>
    <t>RISK-110</t>
  </si>
  <si>
    <t>RISK-111</t>
  </si>
  <si>
    <t>RISK-112</t>
  </si>
  <si>
    <t>RISK-113</t>
  </si>
  <si>
    <t>RISK-114</t>
  </si>
  <si>
    <t>RISK-115</t>
  </si>
  <si>
    <t>RISK-116</t>
  </si>
  <si>
    <t>RISK-117</t>
  </si>
  <si>
    <t>RISK-118</t>
  </si>
  <si>
    <t>RISK-119</t>
  </si>
  <si>
    <t>Environmental violation</t>
  </si>
  <si>
    <t>RISK-120</t>
  </si>
  <si>
    <t>RISK-121</t>
  </si>
  <si>
    <t>RISK-122</t>
  </si>
  <si>
    <t>RISK-123</t>
  </si>
  <si>
    <t>RISK-124</t>
  </si>
  <si>
    <t>RISK-125</t>
  </si>
  <si>
    <t>Operational error</t>
  </si>
  <si>
    <t>RISK-126</t>
  </si>
  <si>
    <t>RISK-127</t>
  </si>
  <si>
    <t>RISK-128</t>
  </si>
  <si>
    <t>RISK-129</t>
  </si>
  <si>
    <t>RISK-130</t>
  </si>
  <si>
    <t>Interest rate change</t>
  </si>
  <si>
    <t>RISK-131</t>
  </si>
  <si>
    <t>RISK-132</t>
  </si>
  <si>
    <t>RISK-133</t>
  </si>
  <si>
    <t>Money laundering</t>
  </si>
  <si>
    <t>RISK-134</t>
  </si>
  <si>
    <t>RISK-135</t>
  </si>
  <si>
    <t>RISK-136</t>
  </si>
  <si>
    <t>RISK-137</t>
  </si>
  <si>
    <t>RISK-138</t>
  </si>
  <si>
    <t>RISK-139</t>
  </si>
  <si>
    <t>RISK-140</t>
  </si>
  <si>
    <t>RISK-141</t>
  </si>
  <si>
    <t>RISK-142</t>
  </si>
  <si>
    <t>RISK-143</t>
  </si>
  <si>
    <t>RISK-144</t>
  </si>
  <si>
    <t>RISK-145</t>
  </si>
  <si>
    <t>RISK-146</t>
  </si>
  <si>
    <t>RISK-147</t>
  </si>
  <si>
    <t>RISK-148</t>
  </si>
  <si>
    <t>RISK-149</t>
  </si>
  <si>
    <t>RISK-150</t>
  </si>
  <si>
    <t>RISK-151</t>
  </si>
  <si>
    <t>RISK-152</t>
  </si>
  <si>
    <t>RISK-153</t>
  </si>
  <si>
    <t>RISK-154</t>
  </si>
  <si>
    <t>RISK-155</t>
  </si>
  <si>
    <t>RISK-156</t>
  </si>
  <si>
    <t>RISK-157</t>
  </si>
  <si>
    <t>RISK-158</t>
  </si>
  <si>
    <t>RISK-159</t>
  </si>
  <si>
    <t>RISK-160</t>
  </si>
  <si>
    <t>RISK-161</t>
  </si>
  <si>
    <t>RISK-162</t>
  </si>
  <si>
    <t>RISK-163</t>
  </si>
  <si>
    <t>RISK-164</t>
  </si>
  <si>
    <t>RISK-165</t>
  </si>
  <si>
    <t>RISK-166</t>
  </si>
  <si>
    <t>RISK-167</t>
  </si>
  <si>
    <t>RISK-168</t>
  </si>
  <si>
    <t>RISK-169</t>
  </si>
  <si>
    <t>RISK-170</t>
  </si>
  <si>
    <t>RISK-171</t>
  </si>
  <si>
    <t>RISK-172</t>
  </si>
  <si>
    <t>RISK-173</t>
  </si>
  <si>
    <t>RISK-174</t>
  </si>
  <si>
    <t>RISK-175</t>
  </si>
  <si>
    <t>RISK-176</t>
  </si>
  <si>
    <t>RISK-177</t>
  </si>
  <si>
    <t>RISK-178</t>
  </si>
  <si>
    <t>RISK-179</t>
  </si>
  <si>
    <t>RISK-180</t>
  </si>
  <si>
    <t>RISK-181</t>
  </si>
  <si>
    <t>RISK-182</t>
  </si>
  <si>
    <t>RISK-183</t>
  </si>
  <si>
    <t>RISK-184</t>
  </si>
  <si>
    <t>RISK-185</t>
  </si>
  <si>
    <t>RISK-186</t>
  </si>
  <si>
    <t>Supply chain disruption</t>
  </si>
  <si>
    <t>RISK-187</t>
  </si>
  <si>
    <t>RISK-188</t>
  </si>
  <si>
    <t>RISK-189</t>
  </si>
  <si>
    <t>RISK-190</t>
  </si>
  <si>
    <t>RISK-191</t>
  </si>
  <si>
    <t>RISK-192</t>
  </si>
  <si>
    <t>RISK-193</t>
  </si>
  <si>
    <t>RISK-194</t>
  </si>
  <si>
    <t>RISK-195</t>
  </si>
  <si>
    <t>RISK-196</t>
  </si>
  <si>
    <t>RISK-197</t>
  </si>
  <si>
    <t>RISK-198</t>
  </si>
  <si>
    <t>RISK-199</t>
  </si>
  <si>
    <t>RISK-200</t>
  </si>
  <si>
    <t>RISK-201</t>
  </si>
  <si>
    <t>RISK-202</t>
  </si>
  <si>
    <t>RISK-203</t>
  </si>
  <si>
    <t>RISK-204</t>
  </si>
  <si>
    <t>RISK-205</t>
  </si>
  <si>
    <t>RISK-206</t>
  </si>
  <si>
    <t>RISK-207</t>
  </si>
  <si>
    <t>RISK-208</t>
  </si>
  <si>
    <t>RISK-209</t>
  </si>
  <si>
    <t>RISK-210</t>
  </si>
  <si>
    <t>RISK-211</t>
  </si>
  <si>
    <t>RISK-212</t>
  </si>
  <si>
    <t>RISK-213</t>
  </si>
  <si>
    <t>RISK-214</t>
  </si>
  <si>
    <t>RISK-215</t>
  </si>
  <si>
    <t>RISK-216</t>
  </si>
  <si>
    <t>RISK-217</t>
  </si>
  <si>
    <t>RISK-218</t>
  </si>
  <si>
    <t>Data breach</t>
  </si>
  <si>
    <t>RISK-219</t>
  </si>
  <si>
    <t>RISK-220</t>
  </si>
  <si>
    <t>ControlID</t>
  </si>
  <si>
    <t>Control Name</t>
  </si>
  <si>
    <t>Control Type</t>
  </si>
  <si>
    <t>Framework</t>
  </si>
  <si>
    <t>Effectiveness</t>
  </si>
  <si>
    <t>Implementation Date</t>
  </si>
  <si>
    <t>Owner</t>
  </si>
  <si>
    <t>CTRL-001</t>
  </si>
  <si>
    <t>Control Self-Assessment</t>
  </si>
  <si>
    <t>Directive</t>
  </si>
  <si>
    <t>GDPR</t>
  </si>
  <si>
    <t>CTRL-002</t>
  </si>
  <si>
    <t>Secure SDLC</t>
  </si>
  <si>
    <t>Preventive</t>
  </si>
  <si>
    <t>NIST CSF</t>
  </si>
  <si>
    <t>CTRL-003</t>
  </si>
  <si>
    <t>External Audit</t>
  </si>
  <si>
    <t>SOC 2</t>
  </si>
  <si>
    <t>CTRL-004</t>
  </si>
  <si>
    <t>MFA</t>
  </si>
  <si>
    <t>Detective</t>
  </si>
  <si>
    <t>NIST 800-53</t>
  </si>
  <si>
    <t>CTRL-005</t>
  </si>
  <si>
    <t>CTRL-006</t>
  </si>
  <si>
    <t>Privacy Policy</t>
  </si>
  <si>
    <t>HITRUST</t>
  </si>
  <si>
    <t>CTRL-007</t>
  </si>
  <si>
    <t>Contract Review</t>
  </si>
  <si>
    <t>CTRL-008</t>
  </si>
  <si>
    <t>BCP</t>
  </si>
  <si>
    <t>CTRL-009</t>
  </si>
  <si>
    <t>Risk Assessment</t>
  </si>
  <si>
    <t>CTRL-010</t>
  </si>
  <si>
    <t>Security Awareness</t>
  </si>
  <si>
    <t>Corrective</t>
  </si>
  <si>
    <t>CTRL-011</t>
  </si>
  <si>
    <t>License Management</t>
  </si>
  <si>
    <t>CTRL-012</t>
  </si>
  <si>
    <t>Data Subject Request</t>
  </si>
  <si>
    <t>CTRL-013</t>
  </si>
  <si>
    <t>Compliance Review</t>
  </si>
  <si>
    <t>CTRL-014</t>
  </si>
  <si>
    <t>IDS/IPS</t>
  </si>
  <si>
    <t>ISO 27001:2022</t>
  </si>
  <si>
    <t>CTRL-015</t>
  </si>
  <si>
    <t>Penetration Testing</t>
  </si>
  <si>
    <t>CTRL-016</t>
  </si>
  <si>
    <t>Code Review</t>
  </si>
  <si>
    <t>CTRL-017</t>
  </si>
  <si>
    <t>DevSecOps</t>
  </si>
  <si>
    <t>CTRL-018</t>
  </si>
  <si>
    <t>Access Control</t>
  </si>
  <si>
    <t>CTRL-019</t>
  </si>
  <si>
    <t>CTRL-020</t>
  </si>
  <si>
    <t>Certificate Management</t>
  </si>
  <si>
    <t>CTRL-021</t>
  </si>
  <si>
    <t>CTRL-022</t>
  </si>
  <si>
    <t>Threat Modeling</t>
  </si>
  <si>
    <t>CTRL-023</t>
  </si>
  <si>
    <t>Firewall</t>
  </si>
  <si>
    <t>PCI DSS 4.0</t>
  </si>
  <si>
    <t>CTRL-024</t>
  </si>
  <si>
    <t>Password Policy</t>
  </si>
  <si>
    <t>CTRL-025</t>
  </si>
  <si>
    <t>Consent Management</t>
  </si>
  <si>
    <t>CTRL-026</t>
  </si>
  <si>
    <t>CTRL-027</t>
  </si>
  <si>
    <t>Smart Card</t>
  </si>
  <si>
    <t>CTRL-028</t>
  </si>
  <si>
    <t>CTRL-029</t>
  </si>
  <si>
    <t>CTRL-030</t>
  </si>
  <si>
    <t>POPIA</t>
  </si>
  <si>
    <t>CTRL-031</t>
  </si>
  <si>
    <t>CTRL-032</t>
  </si>
  <si>
    <t>CTRL-033</t>
  </si>
  <si>
    <t>Security Incident Report</t>
  </si>
  <si>
    <t>CTRL-034</t>
  </si>
  <si>
    <t>CTRL-035</t>
  </si>
  <si>
    <t>CTRL-036</t>
  </si>
  <si>
    <t>Business Impact Analysis</t>
  </si>
  <si>
    <t>CTRL-037</t>
  </si>
  <si>
    <t>CTRL-038</t>
  </si>
  <si>
    <t>Antivirus</t>
  </si>
  <si>
    <t>CTRL-039</t>
  </si>
  <si>
    <t>Data Leakage Prevention</t>
  </si>
  <si>
    <t>CTRL-040</t>
  </si>
  <si>
    <t>CTRL-041</t>
  </si>
  <si>
    <t>CTRL-042</t>
  </si>
  <si>
    <t>CTRL-043</t>
  </si>
  <si>
    <t>Backup</t>
  </si>
  <si>
    <t>CTRL-044</t>
  </si>
  <si>
    <t>CTRL-045</t>
  </si>
  <si>
    <t>CTRL-046</t>
  </si>
  <si>
    <t>Incident Response</t>
  </si>
  <si>
    <t>CTRL-047</t>
  </si>
  <si>
    <t>Encryption</t>
  </si>
  <si>
    <t>CTRL-048</t>
  </si>
  <si>
    <t>CTRL-049</t>
  </si>
  <si>
    <t>Internal Audit</t>
  </si>
  <si>
    <t>CTRL-050</t>
  </si>
  <si>
    <t>Vulnerability Scanning</t>
  </si>
  <si>
    <t>CTRL-051</t>
  </si>
  <si>
    <t>CTRL-052</t>
  </si>
  <si>
    <t>Legal Review</t>
  </si>
  <si>
    <t>CTRL-053</t>
  </si>
  <si>
    <t>CTRL-054</t>
  </si>
  <si>
    <t>Configuration Management</t>
  </si>
  <si>
    <t>CTRL-055</t>
  </si>
  <si>
    <t>CTRL-056</t>
  </si>
  <si>
    <t>CTRL-057</t>
  </si>
  <si>
    <t>CTRL-058</t>
  </si>
  <si>
    <t>CTRL-059</t>
  </si>
  <si>
    <t>CTRL-060</t>
  </si>
  <si>
    <t>CTRL-061</t>
  </si>
  <si>
    <t>Biometric Control</t>
  </si>
  <si>
    <t>CTRL-062</t>
  </si>
  <si>
    <t>CTRL-063</t>
  </si>
  <si>
    <t>Breach Notification</t>
  </si>
  <si>
    <t>CTRL-064</t>
  </si>
  <si>
    <t>CTRL-065</t>
  </si>
  <si>
    <t>CTRL-066</t>
  </si>
  <si>
    <t>CTRL-067</t>
  </si>
  <si>
    <t>Asset Management</t>
  </si>
  <si>
    <t>CTRL-068</t>
  </si>
  <si>
    <t>CTRL-069</t>
  </si>
  <si>
    <t>Change Management</t>
  </si>
  <si>
    <t>CTRL-070</t>
  </si>
  <si>
    <t>CTRL-071</t>
  </si>
  <si>
    <t>CTRL-072</t>
  </si>
  <si>
    <t>CTRL-073</t>
  </si>
  <si>
    <t>CTRL-074</t>
  </si>
  <si>
    <t>CTRL-075</t>
  </si>
  <si>
    <t>CTRL-076</t>
  </si>
  <si>
    <t>CTRL-077</t>
  </si>
  <si>
    <t>Data Classification</t>
  </si>
  <si>
    <t>CTRL-078</t>
  </si>
  <si>
    <t>Third-Party Audit</t>
  </si>
  <si>
    <t>CTRL-079</t>
  </si>
  <si>
    <t>CTRL-080</t>
  </si>
  <si>
    <t>Vendor Assessment</t>
  </si>
  <si>
    <t>CTRL-081</t>
  </si>
  <si>
    <t>CTRL-082</t>
  </si>
  <si>
    <t>CTRL-083</t>
  </si>
  <si>
    <t>CTRL-084</t>
  </si>
  <si>
    <t>CTRL-085</t>
  </si>
  <si>
    <t>CTRL-086</t>
  </si>
  <si>
    <t>CTRL-087</t>
  </si>
  <si>
    <t>CTRL-088</t>
  </si>
  <si>
    <t>Risk Treatment</t>
  </si>
  <si>
    <t>CTRL-089</t>
  </si>
  <si>
    <t>Patch Management</t>
  </si>
  <si>
    <t>CTRL-090</t>
  </si>
  <si>
    <t>CTRL-091</t>
  </si>
  <si>
    <t>CTRL-092</t>
  </si>
  <si>
    <t>CTRL-093</t>
  </si>
  <si>
    <t>CTRL-094</t>
  </si>
  <si>
    <t>CTRL-095</t>
  </si>
  <si>
    <t>CTRL-096</t>
  </si>
  <si>
    <t>CTRL-097</t>
  </si>
  <si>
    <t>CTRL-098</t>
  </si>
  <si>
    <t>CTRL-099</t>
  </si>
  <si>
    <t>CTRL-100</t>
  </si>
  <si>
    <t>CTRL-101</t>
  </si>
  <si>
    <t>Regulatory Filing</t>
  </si>
  <si>
    <t>CTRL-102</t>
  </si>
  <si>
    <t>CTRL-103</t>
  </si>
  <si>
    <t>CTRL-104</t>
  </si>
  <si>
    <t>CTRL-105</t>
  </si>
  <si>
    <t>CTRL-106</t>
  </si>
  <si>
    <t>CTRL-107</t>
  </si>
  <si>
    <t>Policy Review</t>
  </si>
  <si>
    <t>CTRL-108</t>
  </si>
  <si>
    <t>CTRL-109</t>
  </si>
  <si>
    <t>CTRL-110</t>
  </si>
  <si>
    <t>CTRL-111</t>
  </si>
  <si>
    <t>CTRL-112</t>
  </si>
  <si>
    <t>CTRL-113</t>
  </si>
  <si>
    <t>CTRL-114</t>
  </si>
  <si>
    <t>CTRL-115</t>
  </si>
  <si>
    <t>CTRL-116</t>
  </si>
  <si>
    <t>CTRL-117</t>
  </si>
  <si>
    <t>CTRL-118</t>
  </si>
  <si>
    <t>CTRL-119</t>
  </si>
  <si>
    <t>CTRL-120</t>
  </si>
  <si>
    <t>CTRL-121</t>
  </si>
  <si>
    <t>CTRL-122</t>
  </si>
  <si>
    <t>CTRL-123</t>
  </si>
  <si>
    <t>CTRL-124</t>
  </si>
  <si>
    <t>CTRL-125</t>
  </si>
  <si>
    <t>CTRL-126</t>
  </si>
  <si>
    <t>CTRL-127</t>
  </si>
  <si>
    <t>CTRL-128</t>
  </si>
  <si>
    <t>CTRL-129</t>
  </si>
  <si>
    <t>CTRL-130</t>
  </si>
  <si>
    <t>CTRL-131</t>
  </si>
  <si>
    <t>CTRL-132</t>
  </si>
  <si>
    <t>CTRL-133</t>
  </si>
  <si>
    <t>Training Records</t>
  </si>
  <si>
    <t>CTRL-134</t>
  </si>
  <si>
    <t>CTRL-135</t>
  </si>
  <si>
    <t>CTRL-136</t>
  </si>
  <si>
    <t>CTRL-137</t>
  </si>
  <si>
    <t>CTRL-138</t>
  </si>
  <si>
    <t>CCTV</t>
  </si>
  <si>
    <t>CTRL-139</t>
  </si>
  <si>
    <t>CTRL-140</t>
  </si>
  <si>
    <t>CTRL-141</t>
  </si>
  <si>
    <t>CTRL-142</t>
  </si>
  <si>
    <t>CTRL-143</t>
  </si>
  <si>
    <t>CTRL-144</t>
  </si>
  <si>
    <t>CTRL-145</t>
  </si>
  <si>
    <t>CTRL-146</t>
  </si>
  <si>
    <t>CTRL-147</t>
  </si>
  <si>
    <t>CTRL-148</t>
  </si>
  <si>
    <t>CTRL-149</t>
  </si>
  <si>
    <t>CTRL-150</t>
  </si>
  <si>
    <t>CTRL-151</t>
  </si>
  <si>
    <t>CTRL-152</t>
  </si>
  <si>
    <t>CTRL-153</t>
  </si>
  <si>
    <t>CTRL-154</t>
  </si>
  <si>
    <t>Security Testing</t>
  </si>
  <si>
    <t>CTRL-155</t>
  </si>
  <si>
    <t>Physical Security</t>
  </si>
  <si>
    <t>CTRL-156</t>
  </si>
  <si>
    <t>Audit Logging</t>
  </si>
  <si>
    <t>CTRL-157</t>
  </si>
  <si>
    <t>CTRL-158</t>
  </si>
  <si>
    <t>CTRL-159</t>
  </si>
  <si>
    <t>CTRL-160</t>
  </si>
  <si>
    <t>CTRL-161</t>
  </si>
  <si>
    <t>CTRL-162</t>
  </si>
  <si>
    <t>CTRL-163</t>
  </si>
  <si>
    <t>CTRL-164</t>
  </si>
  <si>
    <t>CTRL-165</t>
  </si>
  <si>
    <t>CTRL-166</t>
  </si>
  <si>
    <t>CTRL-167</t>
  </si>
  <si>
    <t>CTRL-168</t>
  </si>
  <si>
    <t>CTRL-169</t>
  </si>
  <si>
    <t>CTRL-170</t>
  </si>
  <si>
    <t>CTRL-171</t>
  </si>
  <si>
    <t>CTRL-172</t>
  </si>
  <si>
    <t>CTRL-173</t>
  </si>
  <si>
    <t>CTRL-174</t>
  </si>
  <si>
    <t>CTRL-175</t>
  </si>
  <si>
    <t>CTRL-176</t>
  </si>
  <si>
    <t>CTRL-177</t>
  </si>
  <si>
    <t>CTRL-178</t>
  </si>
  <si>
    <t>CTRL-179</t>
  </si>
  <si>
    <t>CTRL-180</t>
  </si>
  <si>
    <t>CTRL-181</t>
  </si>
  <si>
    <t>CTRL-182</t>
  </si>
  <si>
    <t>CTRL-183</t>
  </si>
  <si>
    <t>CTRL-184</t>
  </si>
  <si>
    <t>CTRL-185</t>
  </si>
  <si>
    <t>CTRL-186</t>
  </si>
  <si>
    <t>CTRL-187</t>
  </si>
  <si>
    <t>CTRL-188</t>
  </si>
  <si>
    <t>CTRL-189</t>
  </si>
  <si>
    <t>CTRL-190</t>
  </si>
  <si>
    <t>CTRL-191</t>
  </si>
  <si>
    <t>CTRL-192</t>
  </si>
  <si>
    <t>CTRL-193</t>
  </si>
  <si>
    <t>CTRL-194</t>
  </si>
  <si>
    <t>CTRL-195</t>
  </si>
  <si>
    <t>CTRL-196</t>
  </si>
  <si>
    <t>CTRL-197</t>
  </si>
  <si>
    <t>CTRL-198</t>
  </si>
  <si>
    <t>CTRL-199</t>
  </si>
  <si>
    <t>CTRL-200</t>
  </si>
  <si>
    <t>CTRL-201</t>
  </si>
  <si>
    <t>CTRL-202</t>
  </si>
  <si>
    <t>CTRL-203</t>
  </si>
  <si>
    <t>CTRL-204</t>
  </si>
  <si>
    <t>CTRL-205</t>
  </si>
  <si>
    <t>CTRL-206</t>
  </si>
  <si>
    <t>CTRL-207</t>
  </si>
  <si>
    <t>CTRL-208</t>
  </si>
  <si>
    <t>CTRL-209</t>
  </si>
  <si>
    <t>CTRL-210</t>
  </si>
  <si>
    <t>CTRL-211</t>
  </si>
  <si>
    <t>CTRL-212</t>
  </si>
  <si>
    <t>CTRL-213</t>
  </si>
  <si>
    <t>CTRL-214</t>
  </si>
  <si>
    <t>CTRL-215</t>
  </si>
  <si>
    <t>CTRL-216</t>
  </si>
  <si>
    <t>CTRL-217</t>
  </si>
  <si>
    <t>CTRL-218</t>
  </si>
  <si>
    <t>CTRL-219</t>
  </si>
  <si>
    <t>CTRL-220</t>
  </si>
  <si>
    <t>CTRL-221</t>
  </si>
  <si>
    <t>CTRL-222</t>
  </si>
  <si>
    <t>CTRL-223</t>
  </si>
  <si>
    <t>CTRL-224</t>
  </si>
  <si>
    <t>CTRL-225</t>
  </si>
  <si>
    <t>CTRL-226</t>
  </si>
  <si>
    <t>CTRL-227</t>
  </si>
  <si>
    <t>CTRL-228</t>
  </si>
  <si>
    <t>CTRL-229</t>
  </si>
  <si>
    <t>CTRL-230</t>
  </si>
  <si>
    <t>CTRL-231</t>
  </si>
  <si>
    <t>CTRL-232</t>
  </si>
  <si>
    <t>CTRL-233</t>
  </si>
  <si>
    <t>CTRL-234</t>
  </si>
  <si>
    <t>CTRL-235</t>
  </si>
  <si>
    <t>CTRL-236</t>
  </si>
  <si>
    <t>CTRL-237</t>
  </si>
  <si>
    <t>CTRL-238</t>
  </si>
  <si>
    <t>CTRL-239</t>
  </si>
  <si>
    <t>CTRL-240</t>
  </si>
  <si>
    <t>CTRL-241</t>
  </si>
  <si>
    <t>CTRL-242</t>
  </si>
  <si>
    <t>CTRL-243</t>
  </si>
  <si>
    <t>CTRL-244</t>
  </si>
  <si>
    <t>CTRL-245</t>
  </si>
  <si>
    <t>CTRL-246</t>
  </si>
  <si>
    <t>CTRL-247</t>
  </si>
  <si>
    <t>CTRL-248</t>
  </si>
  <si>
    <t>CTRL-249</t>
  </si>
  <si>
    <t>CTRL-250</t>
  </si>
  <si>
    <t>CTRL-251</t>
  </si>
  <si>
    <t>CTRL-252</t>
  </si>
  <si>
    <t>CTRL-253</t>
  </si>
  <si>
    <t>CTRL-254</t>
  </si>
  <si>
    <t>CTRL-255</t>
  </si>
  <si>
    <t>CTRL-256</t>
  </si>
  <si>
    <t>CTRL-257</t>
  </si>
  <si>
    <t>CTRL-258</t>
  </si>
  <si>
    <t>CTRL-259</t>
  </si>
  <si>
    <t>CTRL-260</t>
  </si>
  <si>
    <t>CTRL-261</t>
  </si>
  <si>
    <t>CTRL-262</t>
  </si>
  <si>
    <t>CTRL-263</t>
  </si>
  <si>
    <t>CTRL-264</t>
  </si>
  <si>
    <t>CTRL-265</t>
  </si>
  <si>
    <t>CTRL-266</t>
  </si>
  <si>
    <t>CTRL-267</t>
  </si>
  <si>
    <t>CTRL-268</t>
  </si>
  <si>
    <t>CTRL-269</t>
  </si>
  <si>
    <t>CTRL-270</t>
  </si>
  <si>
    <t>CTRL-271</t>
  </si>
  <si>
    <t>CTRL-272</t>
  </si>
  <si>
    <t>CTRL-273</t>
  </si>
  <si>
    <t>CTRL-274</t>
  </si>
  <si>
    <t>CTRL-275</t>
  </si>
  <si>
    <t>CTRL-276</t>
  </si>
  <si>
    <t>CTRL-277</t>
  </si>
  <si>
    <t>CTRL-278</t>
  </si>
  <si>
    <t>CTRL-279</t>
  </si>
  <si>
    <t>CTRL-280</t>
  </si>
  <si>
    <t>CTRL-281</t>
  </si>
  <si>
    <t>CTRL-282</t>
  </si>
  <si>
    <t>CTRL-283</t>
  </si>
  <si>
    <t>CTRL-284</t>
  </si>
  <si>
    <t>CTRL-285</t>
  </si>
  <si>
    <t>CTRL-286</t>
  </si>
  <si>
    <t>CTRL-287</t>
  </si>
  <si>
    <t>CTRL-288</t>
  </si>
  <si>
    <t>CTRL-289</t>
  </si>
  <si>
    <t>CTRL-290</t>
  </si>
  <si>
    <t>CTRL-291</t>
  </si>
  <si>
    <t>CTRL-292</t>
  </si>
  <si>
    <t>CTRL-293</t>
  </si>
  <si>
    <t>CTRL-294</t>
  </si>
  <si>
    <t>CTRL-295</t>
  </si>
  <si>
    <t>CTRL-296</t>
  </si>
  <si>
    <t>CTRL-297</t>
  </si>
  <si>
    <t>CTRL-298</t>
  </si>
  <si>
    <t>CTRL-299</t>
  </si>
  <si>
    <t>CTRL-300</t>
  </si>
  <si>
    <t>CTRL-301</t>
  </si>
  <si>
    <t>CTRL-302</t>
  </si>
  <si>
    <t>CTRL-303</t>
  </si>
  <si>
    <t>CTRL-304</t>
  </si>
  <si>
    <t>CTRL-305</t>
  </si>
  <si>
    <t>CTRL-306</t>
  </si>
  <si>
    <t>CTRL-307</t>
  </si>
  <si>
    <t>CTRL-308</t>
  </si>
  <si>
    <t>CTRL-309</t>
  </si>
  <si>
    <t>CTRL-310</t>
  </si>
  <si>
    <t>CTRL-311</t>
  </si>
  <si>
    <t>CTRL-312</t>
  </si>
  <si>
    <t>CTRL-313</t>
  </si>
  <si>
    <t>CTRL-314</t>
  </si>
  <si>
    <t>CTRL-315</t>
  </si>
  <si>
    <t>CTRL-316</t>
  </si>
  <si>
    <t>CTRL-317</t>
  </si>
  <si>
    <t>CTRL-318</t>
  </si>
  <si>
    <t>CTRL-319</t>
  </si>
  <si>
    <t>CTRL-320</t>
  </si>
  <si>
    <t>CTRL-321</t>
  </si>
  <si>
    <t>CTRL-322</t>
  </si>
  <si>
    <t>CTRL-323</t>
  </si>
  <si>
    <t>CTRL-324</t>
  </si>
  <si>
    <t>CTRL-325</t>
  </si>
  <si>
    <t>CTRL-326</t>
  </si>
  <si>
    <t>CTRL-327</t>
  </si>
  <si>
    <t>CTRL-328</t>
  </si>
  <si>
    <t>CTRL-329</t>
  </si>
  <si>
    <t>CTRL-330</t>
  </si>
  <si>
    <t>CTRL-331</t>
  </si>
  <si>
    <t>CTRL-332</t>
  </si>
  <si>
    <t>CTRL-333</t>
  </si>
  <si>
    <t>CTRL-334</t>
  </si>
  <si>
    <t>CTRL-335</t>
  </si>
  <si>
    <t>CTRL-336</t>
  </si>
  <si>
    <t>CTRL-337</t>
  </si>
  <si>
    <t>CTRL-338</t>
  </si>
  <si>
    <t>CTRL-339</t>
  </si>
  <si>
    <t>CTRL-340</t>
  </si>
  <si>
    <t>CTRL-341</t>
  </si>
  <si>
    <t>CTRL-342</t>
  </si>
  <si>
    <t>CTRL-343</t>
  </si>
  <si>
    <t>CTRL-344</t>
  </si>
  <si>
    <t>CTRL-345</t>
  </si>
  <si>
    <t>CTRL-346</t>
  </si>
  <si>
    <t>CTRL-347</t>
  </si>
  <si>
    <t>CTRL-348</t>
  </si>
  <si>
    <t>CTRL-349</t>
  </si>
  <si>
    <t>CTRL-350</t>
  </si>
  <si>
    <t>CTRL-351</t>
  </si>
  <si>
    <t>CTRL-352</t>
  </si>
  <si>
    <t>CTRL-353</t>
  </si>
  <si>
    <t>CTRL-354</t>
  </si>
  <si>
    <t>CTRL-355</t>
  </si>
  <si>
    <t>CTRL-356</t>
  </si>
  <si>
    <t>CTRL-357</t>
  </si>
  <si>
    <t>CTRL-358</t>
  </si>
  <si>
    <t>CTRL-359</t>
  </si>
  <si>
    <t>CTRL-360</t>
  </si>
  <si>
    <t>CTRL-361</t>
  </si>
  <si>
    <t>CTRL-362</t>
  </si>
  <si>
    <t>CTRL-363</t>
  </si>
  <si>
    <t>CTRL-364</t>
  </si>
  <si>
    <t>CTRL-365</t>
  </si>
  <si>
    <t>CTRL-366</t>
  </si>
  <si>
    <t>CTRL-367</t>
  </si>
  <si>
    <t>CTRL-368</t>
  </si>
  <si>
    <t>CTRL-369</t>
  </si>
  <si>
    <t>CTRL-370</t>
  </si>
  <si>
    <t>CTRL-371</t>
  </si>
  <si>
    <t>CTRL-372</t>
  </si>
  <si>
    <t>CTRL-373</t>
  </si>
  <si>
    <t>CTRL-374</t>
  </si>
  <si>
    <t>CTRL-375</t>
  </si>
  <si>
    <t>CTRL-376</t>
  </si>
  <si>
    <t>CTRL-377</t>
  </si>
  <si>
    <t>CTRL-378</t>
  </si>
  <si>
    <t>CTRL-379</t>
  </si>
  <si>
    <t>CTRL-380</t>
  </si>
  <si>
    <t>CTRL-381</t>
  </si>
  <si>
    <t>CTRL-382</t>
  </si>
  <si>
    <t>CTRL-383</t>
  </si>
  <si>
    <t>CTRL-384</t>
  </si>
  <si>
    <t>CTRL-385</t>
  </si>
  <si>
    <t>CTRL-386</t>
  </si>
  <si>
    <t>CTRL-387</t>
  </si>
  <si>
    <t>CTRL-388</t>
  </si>
  <si>
    <t>CTRL-389</t>
  </si>
  <si>
    <t>CTRL-390</t>
  </si>
  <si>
    <t>CTRL-391</t>
  </si>
  <si>
    <t>CTRL-392</t>
  </si>
  <si>
    <t>CTRL-393</t>
  </si>
  <si>
    <t>CTRL-394</t>
  </si>
  <si>
    <t>CTRL-395</t>
  </si>
  <si>
    <t>CTRL-396</t>
  </si>
  <si>
    <t>CTRL-397</t>
  </si>
  <si>
    <t>CTRL-398</t>
  </si>
  <si>
    <t>CTRL-399</t>
  </si>
  <si>
    <t>CTRL-400</t>
  </si>
  <si>
    <t>CTRL-401</t>
  </si>
  <si>
    <t>CTRL-402</t>
  </si>
  <si>
    <t>CTRL-403</t>
  </si>
  <si>
    <t>CTRL-404</t>
  </si>
  <si>
    <t>CTRL-405</t>
  </si>
  <si>
    <t>CTRL-406</t>
  </si>
  <si>
    <t>CTRL-407</t>
  </si>
  <si>
    <t>CTRL-408</t>
  </si>
  <si>
    <t>CTRL-409</t>
  </si>
  <si>
    <t>CTRL-410</t>
  </si>
  <si>
    <t>CTRL-411</t>
  </si>
  <si>
    <t>CTRL-412</t>
  </si>
  <si>
    <t>CTRL-413</t>
  </si>
  <si>
    <t>CTRL-414</t>
  </si>
  <si>
    <t>CTRL-415</t>
  </si>
  <si>
    <t>CTRL-416</t>
  </si>
  <si>
    <t>CTRL-417</t>
  </si>
  <si>
    <t>CTRL-418</t>
  </si>
  <si>
    <t>CTRL-419</t>
  </si>
  <si>
    <t>CTRL-420</t>
  </si>
  <si>
    <t>CTRL-421</t>
  </si>
  <si>
    <t>CTRL-422</t>
  </si>
  <si>
    <t>CTRL-423</t>
  </si>
  <si>
    <t>CTRL-424</t>
  </si>
  <si>
    <t>CTRL-425</t>
  </si>
  <si>
    <t>CTRL-426</t>
  </si>
  <si>
    <t>CTRL-427</t>
  </si>
  <si>
    <t>CTRL-428</t>
  </si>
  <si>
    <t>CTRL-429</t>
  </si>
  <si>
    <t>CTRL-430</t>
  </si>
  <si>
    <t>CTRL-431</t>
  </si>
  <si>
    <t>CTRL-432</t>
  </si>
  <si>
    <t>CTRL-433</t>
  </si>
  <si>
    <t>CTRL-434</t>
  </si>
  <si>
    <t>CTRL-435</t>
  </si>
  <si>
    <t>CTRL-436</t>
  </si>
  <si>
    <t>CTRL-437</t>
  </si>
  <si>
    <t>CTRL-438</t>
  </si>
  <si>
    <t>CTRL-439</t>
  </si>
  <si>
    <t>CTRL-440</t>
  </si>
  <si>
    <t>CTRL-441</t>
  </si>
  <si>
    <t>CTRL-442</t>
  </si>
  <si>
    <t>CTRL-443</t>
  </si>
  <si>
    <t>CTRL-444</t>
  </si>
  <si>
    <t>CTRL-445</t>
  </si>
  <si>
    <t>CTRL-446</t>
  </si>
  <si>
    <t>CTRL-447</t>
  </si>
  <si>
    <t>CTRL-448</t>
  </si>
  <si>
    <t>CTRL-449</t>
  </si>
  <si>
    <t>CTRL-450</t>
  </si>
  <si>
    <t>IncidentID</t>
  </si>
  <si>
    <t>Date</t>
  </si>
  <si>
    <t>Type</t>
  </si>
  <si>
    <t>Severity (1-5)</t>
  </si>
  <si>
    <t>Impact (Financial)</t>
  </si>
  <si>
    <t>Root Cause</t>
  </si>
  <si>
    <t>Resolution Date</t>
  </si>
  <si>
    <t>Lessons Learned</t>
  </si>
  <si>
    <t>INC-001</t>
  </si>
  <si>
    <t>Ransomware</t>
  </si>
  <si>
    <t>Incident description 1</t>
  </si>
  <si>
    <t>Cause 6</t>
  </si>
  <si>
    <t>Improvement 1</t>
  </si>
  <si>
    <t>INC-002</t>
  </si>
  <si>
    <t>Security Breach</t>
  </si>
  <si>
    <t>Incident description 2</t>
  </si>
  <si>
    <t>Cause 7</t>
  </si>
  <si>
    <t>Improvement 2</t>
  </si>
  <si>
    <t>INC-003</t>
  </si>
  <si>
    <t>Incident description 3</t>
  </si>
  <si>
    <t>Cause 9</t>
  </si>
  <si>
    <t>Improvement 3</t>
  </si>
  <si>
    <t>INC-004</t>
  </si>
  <si>
    <t>Incident description 4</t>
  </si>
  <si>
    <t>Cause 3</t>
  </si>
  <si>
    <t>Improvement 4</t>
  </si>
  <si>
    <t>INC-005</t>
  </si>
  <si>
    <t>Phishing</t>
  </si>
  <si>
    <t>Incident description 5</t>
  </si>
  <si>
    <t>Cause 8</t>
  </si>
  <si>
    <t>Improvement 5</t>
  </si>
  <si>
    <t>INC-006</t>
  </si>
  <si>
    <t>System Outage</t>
  </si>
  <si>
    <t>Incident description 6</t>
  </si>
  <si>
    <t>Improvement 6</t>
  </si>
  <si>
    <t>INC-007</t>
  </si>
  <si>
    <t>DDoS</t>
  </si>
  <si>
    <t>Incident description 7</t>
  </si>
  <si>
    <t>Improvement 7</t>
  </si>
  <si>
    <t>INC-008</t>
  </si>
  <si>
    <t>Incident description 8</t>
  </si>
  <si>
    <t>Cause 10</t>
  </si>
  <si>
    <t>Improvement 8</t>
  </si>
  <si>
    <t>INC-009</t>
  </si>
  <si>
    <t>Incident description 9</t>
  </si>
  <si>
    <t>Improvement 9</t>
  </si>
  <si>
    <t>INC-010</t>
  </si>
  <si>
    <t>Malware</t>
  </si>
  <si>
    <t>Incident description 10</t>
  </si>
  <si>
    <t>Cause 4</t>
  </si>
  <si>
    <t>Improvement 10</t>
  </si>
  <si>
    <t>INC-011</t>
  </si>
  <si>
    <t>Incident description 11</t>
  </si>
  <si>
    <t>Cause 1</t>
  </si>
  <si>
    <t>Improvement 11</t>
  </si>
  <si>
    <t>INC-012</t>
  </si>
  <si>
    <t>Incident description 12</t>
  </si>
  <si>
    <t>Cause 5</t>
  </si>
  <si>
    <t>Improvement 12</t>
  </si>
  <si>
    <t>INC-013</t>
  </si>
  <si>
    <t>Incident description 13</t>
  </si>
  <si>
    <t>Improvement 13</t>
  </si>
  <si>
    <t>INC-014</t>
  </si>
  <si>
    <t>Insider Threat</t>
  </si>
  <si>
    <t>Incident description 14</t>
  </si>
  <si>
    <t>Improvement 14</t>
  </si>
  <si>
    <t>INC-015</t>
  </si>
  <si>
    <t>Incident description 15</t>
  </si>
  <si>
    <t>Improvement 15</t>
  </si>
  <si>
    <t>INC-016</t>
  </si>
  <si>
    <t>Incident description 16</t>
  </si>
  <si>
    <t>Improvement 16</t>
  </si>
  <si>
    <t>INC-017</t>
  </si>
  <si>
    <t>Incident description 17</t>
  </si>
  <si>
    <t>Improvement 17</t>
  </si>
  <si>
    <t>INC-018</t>
  </si>
  <si>
    <t>Incident description 18</t>
  </si>
  <si>
    <t>Improvement 18</t>
  </si>
  <si>
    <t>INC-019</t>
  </si>
  <si>
    <t>Incident description 19</t>
  </si>
  <si>
    <t>Improvement 19</t>
  </si>
  <si>
    <t>INC-020</t>
  </si>
  <si>
    <t>Human Error</t>
  </si>
  <si>
    <t>Incident description 20</t>
  </si>
  <si>
    <t>Cause 2</t>
  </si>
  <si>
    <t>Improvement 20</t>
  </si>
  <si>
    <t>INC-021</t>
  </si>
  <si>
    <t>Incident description 21</t>
  </si>
  <si>
    <t>Improvement 21</t>
  </si>
  <si>
    <t>INC-022</t>
  </si>
  <si>
    <t>Incident description 22</t>
  </si>
  <si>
    <t>Improvement 22</t>
  </si>
  <si>
    <t>INC-023</t>
  </si>
  <si>
    <t>Data Leak</t>
  </si>
  <si>
    <t>Incident description 23</t>
  </si>
  <si>
    <t>Improvement 23</t>
  </si>
  <si>
    <t>INC-024</t>
  </si>
  <si>
    <t>Incident description 24</t>
  </si>
  <si>
    <t>Improvement 24</t>
  </si>
  <si>
    <t>INC-025</t>
  </si>
  <si>
    <t>Incident description 25</t>
  </si>
  <si>
    <t>Improvement 25</t>
  </si>
  <si>
    <t>INC-026</t>
  </si>
  <si>
    <t>Incident description 26</t>
  </si>
  <si>
    <t>Improvement 26</t>
  </si>
  <si>
    <t>INC-027</t>
  </si>
  <si>
    <t>Compliance Violation</t>
  </si>
  <si>
    <t>Incident description 27</t>
  </si>
  <si>
    <t>Improvement 27</t>
  </si>
  <si>
    <t>INC-028</t>
  </si>
  <si>
    <t>Incident description 28</t>
  </si>
  <si>
    <t>Improvement 28</t>
  </si>
  <si>
    <t>INC-029</t>
  </si>
  <si>
    <t>Incident description 29</t>
  </si>
  <si>
    <t>Improvement 29</t>
  </si>
  <si>
    <t>INC-030</t>
  </si>
  <si>
    <t>Incident description 30</t>
  </si>
  <si>
    <t>Improvement 30</t>
  </si>
  <si>
    <t>INC-031</t>
  </si>
  <si>
    <t>Incident description 31</t>
  </si>
  <si>
    <t>Improvement 31</t>
  </si>
  <si>
    <t>INC-032</t>
  </si>
  <si>
    <t>Incident description 32</t>
  </si>
  <si>
    <t>Improvement 32</t>
  </si>
  <si>
    <t>INC-033</t>
  </si>
  <si>
    <t>Incident description 33</t>
  </si>
  <si>
    <t>Improvement 33</t>
  </si>
  <si>
    <t>INC-034</t>
  </si>
  <si>
    <t>Incident description 34</t>
  </si>
  <si>
    <t>Improvement 34</t>
  </si>
  <si>
    <t>INC-035</t>
  </si>
  <si>
    <t>Incident description 35</t>
  </si>
  <si>
    <t>Improvement 35</t>
  </si>
  <si>
    <t>INC-036</t>
  </si>
  <si>
    <t>Incident description 36</t>
  </si>
  <si>
    <t>Improvement 36</t>
  </si>
  <si>
    <t>INC-037</t>
  </si>
  <si>
    <t>Incident description 37</t>
  </si>
  <si>
    <t>Improvement 37</t>
  </si>
  <si>
    <t>INC-038</t>
  </si>
  <si>
    <t>Incident description 38</t>
  </si>
  <si>
    <t>Improvement 38</t>
  </si>
  <si>
    <t>INC-039</t>
  </si>
  <si>
    <t>Incident description 39</t>
  </si>
  <si>
    <t>Improvement 39</t>
  </si>
  <si>
    <t>INC-040</t>
  </si>
  <si>
    <t>Incident description 40</t>
  </si>
  <si>
    <t>Improvement 40</t>
  </si>
  <si>
    <t>INC-041</t>
  </si>
  <si>
    <t>Incident description 41</t>
  </si>
  <si>
    <t>Improvement 41</t>
  </si>
  <si>
    <t>INC-042</t>
  </si>
  <si>
    <t>Incident description 42</t>
  </si>
  <si>
    <t>Improvement 42</t>
  </si>
  <si>
    <t>INC-043</t>
  </si>
  <si>
    <t>Incident description 43</t>
  </si>
  <si>
    <t>Improvement 43</t>
  </si>
  <si>
    <t>INC-044</t>
  </si>
  <si>
    <t>Incident description 44</t>
  </si>
  <si>
    <t>Improvement 44</t>
  </si>
  <si>
    <t>INC-045</t>
  </si>
  <si>
    <t>Incident description 45</t>
  </si>
  <si>
    <t>Improvement 45</t>
  </si>
  <si>
    <t>INC-046</t>
  </si>
  <si>
    <t>Incident description 46</t>
  </si>
  <si>
    <t>Improvement 46</t>
  </si>
  <si>
    <t>INC-047</t>
  </si>
  <si>
    <t>Incident description 47</t>
  </si>
  <si>
    <t>Improvement 47</t>
  </si>
  <si>
    <t>INC-048</t>
  </si>
  <si>
    <t>Incident description 48</t>
  </si>
  <si>
    <t>Improvement 48</t>
  </si>
  <si>
    <t>INC-049</t>
  </si>
  <si>
    <t>Incident description 49</t>
  </si>
  <si>
    <t>Improvement 49</t>
  </si>
  <si>
    <t>INC-050</t>
  </si>
  <si>
    <t>Incident description 50</t>
  </si>
  <si>
    <t>Improvement 50</t>
  </si>
  <si>
    <t>INC-051</t>
  </si>
  <si>
    <t>Incident description 51</t>
  </si>
  <si>
    <t>Improvement 51</t>
  </si>
  <si>
    <t>INC-052</t>
  </si>
  <si>
    <t>Incident description 52</t>
  </si>
  <si>
    <t>Improvement 52</t>
  </si>
  <si>
    <t>INC-053</t>
  </si>
  <si>
    <t>Incident description 53</t>
  </si>
  <si>
    <t>Improvement 53</t>
  </si>
  <si>
    <t>INC-054</t>
  </si>
  <si>
    <t>Incident description 54</t>
  </si>
  <si>
    <t>Improvement 54</t>
  </si>
  <si>
    <t>INC-055</t>
  </si>
  <si>
    <t>Incident description 55</t>
  </si>
  <si>
    <t>Improvement 55</t>
  </si>
  <si>
    <t>INC-056</t>
  </si>
  <si>
    <t>Incident description 56</t>
  </si>
  <si>
    <t>Improvement 56</t>
  </si>
  <si>
    <t>INC-057</t>
  </si>
  <si>
    <t>Incident description 57</t>
  </si>
  <si>
    <t>Improvement 57</t>
  </si>
  <si>
    <t>INC-058</t>
  </si>
  <si>
    <t>Incident description 58</t>
  </si>
  <si>
    <t>Improvement 58</t>
  </si>
  <si>
    <t>INC-059</t>
  </si>
  <si>
    <t>Incident description 59</t>
  </si>
  <si>
    <t>Improvement 59</t>
  </si>
  <si>
    <t>INC-060</t>
  </si>
  <si>
    <t>Incident description 60</t>
  </si>
  <si>
    <t>Improvement 60</t>
  </si>
  <si>
    <t>INC-061</t>
  </si>
  <si>
    <t>Incident description 61</t>
  </si>
  <si>
    <t>Improvement 61</t>
  </si>
  <si>
    <t>INC-062</t>
  </si>
  <si>
    <t>Incident description 62</t>
  </si>
  <si>
    <t>Improvement 62</t>
  </si>
  <si>
    <t>INC-063</t>
  </si>
  <si>
    <t>Incident description 63</t>
  </si>
  <si>
    <t>Improvement 63</t>
  </si>
  <si>
    <t>INC-064</t>
  </si>
  <si>
    <t>Incident description 64</t>
  </si>
  <si>
    <t>Improvement 64</t>
  </si>
  <si>
    <t>INC-065</t>
  </si>
  <si>
    <t>Incident description 65</t>
  </si>
  <si>
    <t>Improvement 65</t>
  </si>
  <si>
    <t>INC-066</t>
  </si>
  <si>
    <t>Incident description 66</t>
  </si>
  <si>
    <t>Improvement 66</t>
  </si>
  <si>
    <t>INC-067</t>
  </si>
  <si>
    <t>Incident description 67</t>
  </si>
  <si>
    <t>Improvement 67</t>
  </si>
  <si>
    <t>INC-068</t>
  </si>
  <si>
    <t>Incident description 68</t>
  </si>
  <si>
    <t>Improvement 68</t>
  </si>
  <si>
    <t>INC-069</t>
  </si>
  <si>
    <t>Incident description 69</t>
  </si>
  <si>
    <t>Improvement 69</t>
  </si>
  <si>
    <t>INC-070</t>
  </si>
  <si>
    <t>Incident description 70</t>
  </si>
  <si>
    <t>Improvement 70</t>
  </si>
  <si>
    <t>INC-071</t>
  </si>
  <si>
    <t>Incident description 71</t>
  </si>
  <si>
    <t>Improvement 71</t>
  </si>
  <si>
    <t>INC-072</t>
  </si>
  <si>
    <t>Incident description 72</t>
  </si>
  <si>
    <t>Improvement 72</t>
  </si>
  <si>
    <t>INC-073</t>
  </si>
  <si>
    <t>Incident description 73</t>
  </si>
  <si>
    <t>Improvement 73</t>
  </si>
  <si>
    <t>INC-074</t>
  </si>
  <si>
    <t>Incident description 74</t>
  </si>
  <si>
    <t>Improvement 74</t>
  </si>
  <si>
    <t>INC-075</t>
  </si>
  <si>
    <t>Incident description 75</t>
  </si>
  <si>
    <t>Improvement 75</t>
  </si>
  <si>
    <t>INC-076</t>
  </si>
  <si>
    <t>Incident description 76</t>
  </si>
  <si>
    <t>Improvement 76</t>
  </si>
  <si>
    <t>INC-077</t>
  </si>
  <si>
    <t>Incident description 77</t>
  </si>
  <si>
    <t>Improvement 77</t>
  </si>
  <si>
    <t>INC-078</t>
  </si>
  <si>
    <t>Incident description 78</t>
  </si>
  <si>
    <t>Improvement 78</t>
  </si>
  <si>
    <t>INC-079</t>
  </si>
  <si>
    <t>Incident description 79</t>
  </si>
  <si>
    <t>Improvement 79</t>
  </si>
  <si>
    <t>INC-080</t>
  </si>
  <si>
    <t>Incident description 80</t>
  </si>
  <si>
    <t>Improvement 80</t>
  </si>
  <si>
    <t>INC-081</t>
  </si>
  <si>
    <t>Incident description 81</t>
  </si>
  <si>
    <t>Improvement 81</t>
  </si>
  <si>
    <t>INC-082</t>
  </si>
  <si>
    <t>Incident description 82</t>
  </si>
  <si>
    <t>Improvement 82</t>
  </si>
  <si>
    <t>INC-083</t>
  </si>
  <si>
    <t>Incident description 83</t>
  </si>
  <si>
    <t>Improvement 83</t>
  </si>
  <si>
    <t>INC-084</t>
  </si>
  <si>
    <t>Incident description 84</t>
  </si>
  <si>
    <t>Improvement 84</t>
  </si>
  <si>
    <t>INC-085</t>
  </si>
  <si>
    <t>Incident description 85</t>
  </si>
  <si>
    <t>Improvement 85</t>
  </si>
  <si>
    <t>INC-086</t>
  </si>
  <si>
    <t>Incident description 86</t>
  </si>
  <si>
    <t>Improvement 86</t>
  </si>
  <si>
    <t>INC-087</t>
  </si>
  <si>
    <t>Incident description 87</t>
  </si>
  <si>
    <t>Improvement 87</t>
  </si>
  <si>
    <t>INC-088</t>
  </si>
  <si>
    <t>Incident description 88</t>
  </si>
  <si>
    <t>Improvement 88</t>
  </si>
  <si>
    <t>INC-089</t>
  </si>
  <si>
    <t>Incident description 89</t>
  </si>
  <si>
    <t>Improvement 89</t>
  </si>
  <si>
    <t>INC-090</t>
  </si>
  <si>
    <t>Incident description 90</t>
  </si>
  <si>
    <t>Improvement 90</t>
  </si>
  <si>
    <t>INC-091</t>
  </si>
  <si>
    <t>Incident description 91</t>
  </si>
  <si>
    <t>Improvement 91</t>
  </si>
  <si>
    <t>INC-092</t>
  </si>
  <si>
    <t>Incident description 92</t>
  </si>
  <si>
    <t>Improvement 92</t>
  </si>
  <si>
    <t>INC-093</t>
  </si>
  <si>
    <t>Incident description 93</t>
  </si>
  <si>
    <t>Improvement 93</t>
  </si>
  <si>
    <t>INC-094</t>
  </si>
  <si>
    <t>Incident description 94</t>
  </si>
  <si>
    <t>Improvement 94</t>
  </si>
  <si>
    <t>INC-095</t>
  </si>
  <si>
    <t>Incident description 95</t>
  </si>
  <si>
    <t>Improvement 95</t>
  </si>
  <si>
    <t>INC-096</t>
  </si>
  <si>
    <t>Incident description 96</t>
  </si>
  <si>
    <t>Improvement 96</t>
  </si>
  <si>
    <t>INC-097</t>
  </si>
  <si>
    <t>Incident description 97</t>
  </si>
  <si>
    <t>Improvement 97</t>
  </si>
  <si>
    <t>INC-098</t>
  </si>
  <si>
    <t>Incident description 98</t>
  </si>
  <si>
    <t>Improvement 98</t>
  </si>
  <si>
    <t>INC-099</t>
  </si>
  <si>
    <t>Incident description 99</t>
  </si>
  <si>
    <t>Improvement 99</t>
  </si>
  <si>
    <t>INC-100</t>
  </si>
  <si>
    <t>Incident description 100</t>
  </si>
  <si>
    <t>Improvement 100</t>
  </si>
  <si>
    <t>AuditID</t>
  </si>
  <si>
    <t>Audit Type</t>
  </si>
  <si>
    <t>Scope</t>
  </si>
  <si>
    <t>Auditor</t>
  </si>
  <si>
    <t>Start Date</t>
  </si>
  <si>
    <t>End Date</t>
  </si>
  <si>
    <t>Findings Count</t>
  </si>
  <si>
    <t>Critical Findings</t>
  </si>
  <si>
    <t>Audit Report</t>
  </si>
  <si>
    <t>AUDIT-001</t>
  </si>
  <si>
    <t>PCI DSS</t>
  </si>
  <si>
    <t>Scope 1</t>
  </si>
  <si>
    <t>Auditor 7</t>
  </si>
  <si>
    <t>Report 1</t>
  </si>
  <si>
    <t>AUDIT-002</t>
  </si>
  <si>
    <t>IT General</t>
  </si>
  <si>
    <t>Scope 2</t>
  </si>
  <si>
    <t>Auditor 5</t>
  </si>
  <si>
    <t>Report 2</t>
  </si>
  <si>
    <t>AUDIT-003</t>
  </si>
  <si>
    <t>Scope 3</t>
  </si>
  <si>
    <t>Auditor 10</t>
  </si>
  <si>
    <t>Report 3</t>
  </si>
  <si>
    <t>AUDIT-004</t>
  </si>
  <si>
    <t>Regulatory</t>
  </si>
  <si>
    <t>Scope 4</t>
  </si>
  <si>
    <t>Auditor 1</t>
  </si>
  <si>
    <t>Report 4</t>
  </si>
  <si>
    <t>AUDIT-005</t>
  </si>
  <si>
    <t>Scope 5</t>
  </si>
  <si>
    <t>Auditor 9</t>
  </si>
  <si>
    <t>Report 5</t>
  </si>
  <si>
    <t>AUDIT-006</t>
  </si>
  <si>
    <t>Scope 6</t>
  </si>
  <si>
    <t>Report 6</t>
  </si>
  <si>
    <t>AUDIT-007</t>
  </si>
  <si>
    <t>Scope 7</t>
  </si>
  <si>
    <t>Auditor 8</t>
  </si>
  <si>
    <t>Report 7</t>
  </si>
  <si>
    <t>AUDIT-008</t>
  </si>
  <si>
    <t>Scope 8</t>
  </si>
  <si>
    <t>Report 8</t>
  </si>
  <si>
    <t>AUDIT-009</t>
  </si>
  <si>
    <t>Internal</t>
  </si>
  <si>
    <t>Scope 9</t>
  </si>
  <si>
    <t>Report 9</t>
  </si>
  <si>
    <t>AUDIT-010</t>
  </si>
  <si>
    <t>Scope 10</t>
  </si>
  <si>
    <t>Report 10</t>
  </si>
  <si>
    <t>AUDIT-011</t>
  </si>
  <si>
    <t>Scope 11</t>
  </si>
  <si>
    <t>Report 11</t>
  </si>
  <si>
    <t>AUDIT-012</t>
  </si>
  <si>
    <t>Scope 12</t>
  </si>
  <si>
    <t>Report 12</t>
  </si>
  <si>
    <t>AUDIT-013</t>
  </si>
  <si>
    <t>Scope 13</t>
  </si>
  <si>
    <t>Report 13</t>
  </si>
  <si>
    <t>AUDIT-014</t>
  </si>
  <si>
    <t>ISO 27001</t>
  </si>
  <si>
    <t>Scope 14</t>
  </si>
  <si>
    <t>Auditor 2</t>
  </si>
  <si>
    <t>Report 14</t>
  </si>
  <si>
    <t>AUDIT-015</t>
  </si>
  <si>
    <t>Scope 15</t>
  </si>
  <si>
    <t>Report 15</t>
  </si>
  <si>
    <t>AUDIT-016</t>
  </si>
  <si>
    <t>Scope 16</t>
  </si>
  <si>
    <t>Report 16</t>
  </si>
  <si>
    <t>AUDIT-017</t>
  </si>
  <si>
    <t>External</t>
  </si>
  <si>
    <t>Scope 17</t>
  </si>
  <si>
    <t>Auditor 6</t>
  </si>
  <si>
    <t>Report 17</t>
  </si>
  <si>
    <t>AUDIT-018</t>
  </si>
  <si>
    <t>Scope 18</t>
  </si>
  <si>
    <t>Report 18</t>
  </si>
  <si>
    <t>AUDIT-019</t>
  </si>
  <si>
    <t>Scope 19</t>
  </si>
  <si>
    <t>Report 19</t>
  </si>
  <si>
    <t>AUDIT-020</t>
  </si>
  <si>
    <t>Scope 20</t>
  </si>
  <si>
    <t>Auditor 4</t>
  </si>
  <si>
    <t>Report 20</t>
  </si>
  <si>
    <t>AUDIT-021</t>
  </si>
  <si>
    <t>Scope 21</t>
  </si>
  <si>
    <t>Report 21</t>
  </si>
  <si>
    <t>AUDIT-022</t>
  </si>
  <si>
    <t>Scope 22</t>
  </si>
  <si>
    <t>Report 22</t>
  </si>
  <si>
    <t>AUDIT-023</t>
  </si>
  <si>
    <t>Scope 23</t>
  </si>
  <si>
    <t>Report 23</t>
  </si>
  <si>
    <t>AUDIT-024</t>
  </si>
  <si>
    <t>Scope 24</t>
  </si>
  <si>
    <t>Report 24</t>
  </si>
  <si>
    <t>AUDIT-025</t>
  </si>
  <si>
    <t>Scope 25</t>
  </si>
  <si>
    <t>Report 25</t>
  </si>
  <si>
    <t>AUDIT-026</t>
  </si>
  <si>
    <t>Scope 26</t>
  </si>
  <si>
    <t>Report 26</t>
  </si>
  <si>
    <t>AUDIT-027</t>
  </si>
  <si>
    <t>Scope 27</t>
  </si>
  <si>
    <t>Report 27</t>
  </si>
  <si>
    <t>AUDIT-028</t>
  </si>
  <si>
    <t>Scope 28</t>
  </si>
  <si>
    <t>Report 28</t>
  </si>
  <si>
    <t>AUDIT-029</t>
  </si>
  <si>
    <t>Scope 29</t>
  </si>
  <si>
    <t>Report 29</t>
  </si>
  <si>
    <t>AUDIT-030</t>
  </si>
  <si>
    <t>Scope 30</t>
  </si>
  <si>
    <t>Report 30</t>
  </si>
  <si>
    <t>AUDIT-031</t>
  </si>
  <si>
    <t>Scope 31</t>
  </si>
  <si>
    <t>Report 31</t>
  </si>
  <si>
    <t>AUDIT-032</t>
  </si>
  <si>
    <t>Scope 32</t>
  </si>
  <si>
    <t>Report 32</t>
  </si>
  <si>
    <t>AUDIT-033</t>
  </si>
  <si>
    <t>Scope 33</t>
  </si>
  <si>
    <t>Report 33</t>
  </si>
  <si>
    <t>AUDIT-034</t>
  </si>
  <si>
    <t>Scope 34</t>
  </si>
  <si>
    <t>Report 34</t>
  </si>
  <si>
    <t>AUDIT-035</t>
  </si>
  <si>
    <t>Scope 35</t>
  </si>
  <si>
    <t>Report 35</t>
  </si>
  <si>
    <t>AUDIT-036</t>
  </si>
  <si>
    <t>Scope 36</t>
  </si>
  <si>
    <t>Report 36</t>
  </si>
  <si>
    <t>AUDIT-037</t>
  </si>
  <si>
    <t>Scope 37</t>
  </si>
  <si>
    <t>Report 37</t>
  </si>
  <si>
    <t>AUDIT-038</t>
  </si>
  <si>
    <t>Scope 38</t>
  </si>
  <si>
    <t>Report 38</t>
  </si>
  <si>
    <t>AUDIT-039</t>
  </si>
  <si>
    <t>Scope 39</t>
  </si>
  <si>
    <t>Report 39</t>
  </si>
  <si>
    <t>AUDIT-040</t>
  </si>
  <si>
    <t>Scope 40</t>
  </si>
  <si>
    <t>Report 40</t>
  </si>
  <si>
    <t>AUDIT-041</t>
  </si>
  <si>
    <t>Scope 41</t>
  </si>
  <si>
    <t>Report 41</t>
  </si>
  <si>
    <t>AUDIT-042</t>
  </si>
  <si>
    <t>Scope 42</t>
  </si>
  <si>
    <t>Auditor 3</t>
  </si>
  <si>
    <t>Report 42</t>
  </si>
  <si>
    <t>AUDIT-043</t>
  </si>
  <si>
    <t>Scope 43</t>
  </si>
  <si>
    <t>Report 43</t>
  </si>
  <si>
    <t>AUDIT-044</t>
  </si>
  <si>
    <t>Scope 44</t>
  </si>
  <si>
    <t>Report 44</t>
  </si>
  <si>
    <t>AUDIT-045</t>
  </si>
  <si>
    <t>Scope 45</t>
  </si>
  <si>
    <t>Report 45</t>
  </si>
  <si>
    <t>AUDIT-046</t>
  </si>
  <si>
    <t>Scope 46</t>
  </si>
  <si>
    <t>Report 46</t>
  </si>
  <si>
    <t>AUDIT-047</t>
  </si>
  <si>
    <t>Scope 47</t>
  </si>
  <si>
    <t>Report 47</t>
  </si>
  <si>
    <t>AUDIT-048</t>
  </si>
  <si>
    <t>Scope 48</t>
  </si>
  <si>
    <t>Report 48</t>
  </si>
  <si>
    <t>AUDIT-049</t>
  </si>
  <si>
    <t>Scope 49</t>
  </si>
  <si>
    <t>Report 49</t>
  </si>
  <si>
    <t>AUDIT-050</t>
  </si>
  <si>
    <t>Scope 50</t>
  </si>
  <si>
    <t>Report 50</t>
  </si>
  <si>
    <t>AUDIT-051</t>
  </si>
  <si>
    <t>Scope 51</t>
  </si>
  <si>
    <t>Report 51</t>
  </si>
  <si>
    <t>AUDIT-052</t>
  </si>
  <si>
    <t>Scope 52</t>
  </si>
  <si>
    <t>Report 52</t>
  </si>
  <si>
    <t>AUDIT-053</t>
  </si>
  <si>
    <t>Scope 53</t>
  </si>
  <si>
    <t>Report 53</t>
  </si>
  <si>
    <t>AUDIT-054</t>
  </si>
  <si>
    <t>Scope 54</t>
  </si>
  <si>
    <t>Report 54</t>
  </si>
  <si>
    <t>AUDIT-055</t>
  </si>
  <si>
    <t>Scope 55</t>
  </si>
  <si>
    <t>Report 55</t>
  </si>
  <si>
    <t>AUDIT-056</t>
  </si>
  <si>
    <t>Scope 56</t>
  </si>
  <si>
    <t>Report 56</t>
  </si>
  <si>
    <t>AUDIT-057</t>
  </si>
  <si>
    <t>Scope 57</t>
  </si>
  <si>
    <t>Report 57</t>
  </si>
  <si>
    <t>AUDIT-058</t>
  </si>
  <si>
    <t>Scope 58</t>
  </si>
  <si>
    <t>Report 58</t>
  </si>
  <si>
    <t>AUDIT-059</t>
  </si>
  <si>
    <t>Scope 59</t>
  </si>
  <si>
    <t>Report 59</t>
  </si>
  <si>
    <t>AUDIT-060</t>
  </si>
  <si>
    <t>Scope 60</t>
  </si>
  <si>
    <t>Report 60</t>
  </si>
  <si>
    <t>VendorID</t>
  </si>
  <si>
    <t>Vendor Name</t>
  </si>
  <si>
    <t>Category</t>
  </si>
  <si>
    <t>Criticality</t>
  </si>
  <si>
    <t>Risk Score</t>
  </si>
  <si>
    <t>Last Assessment</t>
  </si>
  <si>
    <t>Next Assessment</t>
  </si>
  <si>
    <t>Compliance Status</t>
  </si>
  <si>
    <t>VENDOR-001</t>
  </si>
  <si>
    <t>CyberShield 1</t>
  </si>
  <si>
    <t>VENDOR-002</t>
  </si>
  <si>
    <t>Atlassian 2</t>
  </si>
  <si>
    <t>High</t>
  </si>
  <si>
    <t>VENDOR-003</t>
  </si>
  <si>
    <t>PwC 3</t>
  </si>
  <si>
    <t>VENDOR-004</t>
  </si>
  <si>
    <t>Deloitte 4</t>
  </si>
  <si>
    <t>VENDOR-005</t>
  </si>
  <si>
    <t>SentinelOne 5</t>
  </si>
  <si>
    <t>VENDOR-006</t>
  </si>
  <si>
    <t>GRCInsight 6</t>
  </si>
  <si>
    <t>VENDOR-007</t>
  </si>
  <si>
    <t>PwC 7</t>
  </si>
  <si>
    <t>VENDOR-008</t>
  </si>
  <si>
    <t>Slack 8</t>
  </si>
  <si>
    <t>VENDOR-009</t>
  </si>
  <si>
    <t>ServiceNow 9</t>
  </si>
  <si>
    <t>Low</t>
  </si>
  <si>
    <t>VENDOR-010</t>
  </si>
  <si>
    <t>GRCInsight 10</t>
  </si>
  <si>
    <t>VENDOR-011</t>
  </si>
  <si>
    <t>Google Cloud 11</t>
  </si>
  <si>
    <t>VENDOR-012</t>
  </si>
  <si>
    <t>Salesforce 12</t>
  </si>
  <si>
    <t>VENDOR-013</t>
  </si>
  <si>
    <t>McAfee 13</t>
  </si>
  <si>
    <t>VENDOR-014</t>
  </si>
  <si>
    <t>Salesforce 14</t>
  </si>
  <si>
    <t>VENDOR-015</t>
  </si>
  <si>
    <t>Okta 15</t>
  </si>
  <si>
    <t>VENDOR-016</t>
  </si>
  <si>
    <t>Oracle 16</t>
  </si>
  <si>
    <t>VENDOR-017</t>
  </si>
  <si>
    <t>HubSpot 17</t>
  </si>
  <si>
    <t>VENDOR-018</t>
  </si>
  <si>
    <t>Fortinet 18</t>
  </si>
  <si>
    <t>VENDOR-019</t>
  </si>
  <si>
    <t>CyberShield 19</t>
  </si>
  <si>
    <t>VENDOR-020</t>
  </si>
  <si>
    <t>ServiceNow 20</t>
  </si>
  <si>
    <t>VENDOR-021</t>
  </si>
  <si>
    <t>CrowdStrike 21</t>
  </si>
  <si>
    <t>VENDOR-022</t>
  </si>
  <si>
    <t>Microsoft 22</t>
  </si>
  <si>
    <t>VENDOR-023</t>
  </si>
  <si>
    <t>KPMG 23</t>
  </si>
  <si>
    <t>VENDOR-024</t>
  </si>
  <si>
    <t>Mailchimp 24</t>
  </si>
  <si>
    <t>VENDOR-025</t>
  </si>
  <si>
    <t>Zoho 25</t>
  </si>
  <si>
    <t>VENDOR-026</t>
  </si>
  <si>
    <t>Palo Alto 26</t>
  </si>
  <si>
    <t>VENDOR-027</t>
  </si>
  <si>
    <t>Microsoft 27</t>
  </si>
  <si>
    <t>VENDOR-028</t>
  </si>
  <si>
    <t>Slack 28</t>
  </si>
  <si>
    <t>VENDOR-029</t>
  </si>
  <si>
    <t>ServiceNow 29</t>
  </si>
  <si>
    <t>VENDOR-030</t>
  </si>
  <si>
    <t>GRCInsight 30</t>
  </si>
  <si>
    <t>VENDOR-031</t>
  </si>
  <si>
    <t>AuditPro 31</t>
  </si>
  <si>
    <t>VENDOR-032</t>
  </si>
  <si>
    <t>Zoho 32</t>
  </si>
  <si>
    <t>VENDOR-033</t>
  </si>
  <si>
    <t>Zoom 33</t>
  </si>
  <si>
    <t>VENDOR-034</t>
  </si>
  <si>
    <t>IBM 34</t>
  </si>
  <si>
    <t>VENDOR-035</t>
  </si>
  <si>
    <t>HubSpot 35</t>
  </si>
  <si>
    <t>VENDOR-036</t>
  </si>
  <si>
    <t>GRCInsight 36</t>
  </si>
  <si>
    <t>VENDOR-037</t>
  </si>
  <si>
    <t>CrowdStrike 37</t>
  </si>
  <si>
    <t>VENDOR-038</t>
  </si>
  <si>
    <t>AuditPro 38</t>
  </si>
  <si>
    <t>VENDOR-039</t>
  </si>
  <si>
    <t>HubSpot 39</t>
  </si>
  <si>
    <t>VENDOR-040</t>
  </si>
  <si>
    <t>Salesforce 40</t>
  </si>
  <si>
    <t>VENDOR-041</t>
  </si>
  <si>
    <t>ComplyWorks 41</t>
  </si>
  <si>
    <t>VENDOR-042</t>
  </si>
  <si>
    <t>HubSpot 42</t>
  </si>
  <si>
    <t>VENDOR-043</t>
  </si>
  <si>
    <t>InfoTrust 43</t>
  </si>
  <si>
    <t>VENDOR-044</t>
  </si>
  <si>
    <t>Accenture 44</t>
  </si>
  <si>
    <t>VENDOR-045</t>
  </si>
  <si>
    <t>EY 45</t>
  </si>
  <si>
    <t>VENDOR-046</t>
  </si>
  <si>
    <t>Zoho 46</t>
  </si>
  <si>
    <t>VENDOR-047</t>
  </si>
  <si>
    <t>Fortinet 47</t>
  </si>
  <si>
    <t>VENDOR-048</t>
  </si>
  <si>
    <t>Freshworks 48</t>
  </si>
  <si>
    <t>VENDOR-049</t>
  </si>
  <si>
    <t>PwC 49</t>
  </si>
  <si>
    <t>VENDOR-050</t>
  </si>
  <si>
    <t>SentinelOne 50</t>
  </si>
  <si>
    <t>VENDOR-051</t>
  </si>
  <si>
    <t>Carbon Black 51</t>
  </si>
  <si>
    <t>VENDOR-052</t>
  </si>
  <si>
    <t>EY 52</t>
  </si>
  <si>
    <t>VENDOR-053</t>
  </si>
  <si>
    <t>CrowdStrike 53</t>
  </si>
  <si>
    <t>VENDOR-054</t>
  </si>
  <si>
    <t>Freshworks 54</t>
  </si>
  <si>
    <t>VENDOR-055</t>
  </si>
  <si>
    <t>GRCInsight 55</t>
  </si>
  <si>
    <t>VENDOR-056</t>
  </si>
  <si>
    <t>GRCInsight 56</t>
  </si>
  <si>
    <t>VENDOR-057</t>
  </si>
  <si>
    <t>GRCInsight 57</t>
  </si>
  <si>
    <t>VENDOR-058</t>
  </si>
  <si>
    <t>ServiceNow 58</t>
  </si>
  <si>
    <t>VENDOR-059</t>
  </si>
  <si>
    <t>ServiceNow 59</t>
  </si>
  <si>
    <t>VENDOR-060</t>
  </si>
  <si>
    <t>KPMG 60</t>
  </si>
  <si>
    <t>VENDOR-061</t>
  </si>
  <si>
    <t>DataSecure 61</t>
  </si>
  <si>
    <t>VENDOR-062</t>
  </si>
  <si>
    <t>Atlassian 62</t>
  </si>
  <si>
    <t>VENDOR-063</t>
  </si>
  <si>
    <t>Palo Alto 63</t>
  </si>
  <si>
    <t>VENDOR-064</t>
  </si>
  <si>
    <t>SAP 64</t>
  </si>
  <si>
    <t>VENDOR-065</t>
  </si>
  <si>
    <t>KPMG 65</t>
  </si>
  <si>
    <t>VENDOR-066</t>
  </si>
  <si>
    <t>Mailchimp 66</t>
  </si>
  <si>
    <t>VENDOR-067</t>
  </si>
  <si>
    <t>CyberShield 67</t>
  </si>
  <si>
    <t>VENDOR-068</t>
  </si>
  <si>
    <t>Slack 68</t>
  </si>
  <si>
    <t>VENDOR-069</t>
  </si>
  <si>
    <t>SentinelOne 69</t>
  </si>
  <si>
    <t>VENDOR-070</t>
  </si>
  <si>
    <t>Zoom 70</t>
  </si>
  <si>
    <t>VENDOR-071</t>
  </si>
  <si>
    <t>CyberShield 71</t>
  </si>
  <si>
    <t>VENDOR-072</t>
  </si>
  <si>
    <t>McAfee 72</t>
  </si>
  <si>
    <t>VENDOR-073</t>
  </si>
  <si>
    <t>McAfee 73</t>
  </si>
  <si>
    <t>VENDOR-074</t>
  </si>
  <si>
    <t>Atlassian 74</t>
  </si>
  <si>
    <t>VENDOR-075</t>
  </si>
  <si>
    <t>Duo 75</t>
  </si>
  <si>
    <t>VENDOR-076</t>
  </si>
  <si>
    <t>Zoom 76</t>
  </si>
  <si>
    <t>VENDOR-077</t>
  </si>
  <si>
    <t>Trend Micro 77</t>
  </si>
  <si>
    <t>VENDOR-078</t>
  </si>
  <si>
    <t>AuditPro 78</t>
  </si>
  <si>
    <t>VENDOR-079</t>
  </si>
  <si>
    <t>CyberShield 79</t>
  </si>
  <si>
    <t>VENDOR-080</t>
  </si>
  <si>
    <t>EY 80</t>
  </si>
  <si>
    <t>PolicyID</t>
  </si>
  <si>
    <t>Policy Name</t>
  </si>
  <si>
    <t>Version</t>
  </si>
  <si>
    <t>Approval Date</t>
  </si>
  <si>
    <t>Review Date</t>
  </si>
  <si>
    <t>POL-001</t>
  </si>
  <si>
    <t>Awareness Policy</t>
  </si>
  <si>
    <t>v3.2</t>
  </si>
  <si>
    <t>POL-002</t>
  </si>
  <si>
    <t>Mobile Device Policy</t>
  </si>
  <si>
    <t>v1.5</t>
  </si>
  <si>
    <t>POL-003</t>
  </si>
  <si>
    <t>v5.4</t>
  </si>
  <si>
    <t>POL-004</t>
  </si>
  <si>
    <t>v2.7</t>
  </si>
  <si>
    <t>POL-005</t>
  </si>
  <si>
    <t>Physical Security Policy</t>
  </si>
  <si>
    <t>POL-006</t>
  </si>
  <si>
    <t>v1.8</t>
  </si>
  <si>
    <t>POL-007</t>
  </si>
  <si>
    <t>Acceptable Use Policy</t>
  </si>
  <si>
    <t>v5.7</t>
  </si>
  <si>
    <t>POL-008</t>
  </si>
  <si>
    <t>BCP Policy</t>
  </si>
  <si>
    <t>v5.1</t>
  </si>
  <si>
    <t>POL-009</t>
  </si>
  <si>
    <t>Training Policy</t>
  </si>
  <si>
    <t>v2.1</t>
  </si>
  <si>
    <t>POL-010</t>
  </si>
  <si>
    <t>Compliance Policy</t>
  </si>
  <si>
    <t>v1.9</t>
  </si>
  <si>
    <t>POL-011</t>
  </si>
  <si>
    <t>v2.4</t>
  </si>
  <si>
    <t>POL-012</t>
  </si>
  <si>
    <t>Bring Your Own Device</t>
  </si>
  <si>
    <t>v3.8</t>
  </si>
  <si>
    <t>POL-013</t>
  </si>
  <si>
    <t>v2.3</t>
  </si>
  <si>
    <t>POL-014</t>
  </si>
  <si>
    <t>v2.9</t>
  </si>
  <si>
    <t>POL-015</t>
  </si>
  <si>
    <t>POL-016</t>
  </si>
  <si>
    <t>POL-017</t>
  </si>
  <si>
    <t>v4.2</t>
  </si>
  <si>
    <t>POL-018</t>
  </si>
  <si>
    <t>v4.0</t>
  </si>
  <si>
    <t>POL-019</t>
  </si>
  <si>
    <t>v5.0</t>
  </si>
  <si>
    <t>POL-020</t>
  </si>
  <si>
    <t>v4.1</t>
  </si>
  <si>
    <t>POL-021</t>
  </si>
  <si>
    <t>POL-022</t>
  </si>
  <si>
    <t>v4.4</t>
  </si>
  <si>
    <t>POL-023</t>
  </si>
  <si>
    <t>POL-024</t>
  </si>
  <si>
    <t>Change Management Policy</t>
  </si>
  <si>
    <t>v5.9</t>
  </si>
  <si>
    <t>POL-025</t>
  </si>
  <si>
    <t>v5.6</t>
  </si>
  <si>
    <t>POL-026</t>
  </si>
  <si>
    <t>Information Security Policy</t>
  </si>
  <si>
    <t>v5.2</t>
  </si>
  <si>
    <t>POL-027</t>
  </si>
  <si>
    <t>POL-028</t>
  </si>
  <si>
    <t>v2.8</t>
  </si>
  <si>
    <t>POL-029</t>
  </si>
  <si>
    <t>v2.5</t>
  </si>
  <si>
    <t>POL-030</t>
  </si>
  <si>
    <t>Disaster Recovery Policy</t>
  </si>
  <si>
    <t>v1.6</t>
  </si>
  <si>
    <t>POL-031</t>
  </si>
  <si>
    <t>v5.5</t>
  </si>
  <si>
    <t>POL-032</t>
  </si>
  <si>
    <t>POL-033</t>
  </si>
  <si>
    <t>v1.7</t>
  </si>
  <si>
    <t>POL-034</t>
  </si>
  <si>
    <t>POL-035</t>
  </si>
  <si>
    <t>v4.3</t>
  </si>
  <si>
    <t>POL-036</t>
  </si>
  <si>
    <t>v1.0</t>
  </si>
  <si>
    <t>POL-037</t>
  </si>
  <si>
    <t>v3.3</t>
  </si>
  <si>
    <t>POL-038</t>
  </si>
  <si>
    <t>v3.6</t>
  </si>
  <si>
    <t>POL-039</t>
  </si>
  <si>
    <t>Data Protection Policy</t>
  </si>
  <si>
    <t>v4.7</t>
  </si>
  <si>
    <t>POL-040</t>
  </si>
  <si>
    <t>POL-041</t>
  </si>
  <si>
    <t>POL-042</t>
  </si>
  <si>
    <t>Remote Work Policy</t>
  </si>
  <si>
    <t>POL-043</t>
  </si>
  <si>
    <t>POL-044</t>
  </si>
  <si>
    <t>POL-045</t>
  </si>
  <si>
    <t>POL-046</t>
  </si>
  <si>
    <t>POL-047</t>
  </si>
  <si>
    <t>Incident Response Policy</t>
  </si>
  <si>
    <t>v4.6</t>
  </si>
  <si>
    <t>POL-048</t>
  </si>
  <si>
    <t>POL-049</t>
  </si>
  <si>
    <t>Risk Management Policy</t>
  </si>
  <si>
    <t>POL-050</t>
  </si>
  <si>
    <t>Asset Management Policy</t>
  </si>
  <si>
    <t>v4.5</t>
  </si>
  <si>
    <t>Control</t>
  </si>
  <si>
    <t>Control ID</t>
  </si>
  <si>
    <t>Mapped Risk ID</t>
  </si>
  <si>
    <t>Implementation Status</t>
  </si>
  <si>
    <t>Evidence</t>
  </si>
  <si>
    <t>A.5.2</t>
  </si>
  <si>
    <t>Evidence 1</t>
  </si>
  <si>
    <t>A.14.1</t>
  </si>
  <si>
    <t>Evidence 2</t>
  </si>
  <si>
    <t>A.5.1</t>
  </si>
  <si>
    <t>Evidence 3</t>
  </si>
  <si>
    <t>Evidence 4</t>
  </si>
  <si>
    <t>A.10.1</t>
  </si>
  <si>
    <t>Evidence 5</t>
  </si>
  <si>
    <t>A.13.1</t>
  </si>
  <si>
    <t>Evidence 6</t>
  </si>
  <si>
    <t>Evidence 7</t>
  </si>
  <si>
    <t>A.16.1</t>
  </si>
  <si>
    <t>Evidence 8</t>
  </si>
  <si>
    <t>Evidence 9</t>
  </si>
  <si>
    <t>Evidence 10</t>
  </si>
  <si>
    <t>Evidence 11</t>
  </si>
  <si>
    <t>A.18.1</t>
  </si>
  <si>
    <t>Evidence 12</t>
  </si>
  <si>
    <t>Evidence 13</t>
  </si>
  <si>
    <t>Evidence 14</t>
  </si>
  <si>
    <t>A.17.1</t>
  </si>
  <si>
    <t>Evidence 15</t>
  </si>
  <si>
    <t>Evidence 16</t>
  </si>
  <si>
    <t>A.8.1</t>
  </si>
  <si>
    <t>Evidence 17</t>
  </si>
  <si>
    <t>A.7.1</t>
  </si>
  <si>
    <t>Evidence 18</t>
  </si>
  <si>
    <t>Evidence 19</t>
  </si>
  <si>
    <t>A.11.1</t>
  </si>
  <si>
    <t>Evidence 20</t>
  </si>
  <si>
    <t>A.9.1</t>
  </si>
  <si>
    <t>Evidence 21</t>
  </si>
  <si>
    <t>Evidence 22</t>
  </si>
  <si>
    <t>Evidence 23</t>
  </si>
  <si>
    <t>Evidence 24</t>
  </si>
  <si>
    <t>Evidence 25</t>
  </si>
  <si>
    <t>Evidence 26</t>
  </si>
  <si>
    <t>Evidence 27</t>
  </si>
  <si>
    <t>A.12.1</t>
  </si>
  <si>
    <t>Evidence 28</t>
  </si>
  <si>
    <t>Evidence 29</t>
  </si>
  <si>
    <t>Evidence 30</t>
  </si>
  <si>
    <t>Evidence 31</t>
  </si>
  <si>
    <t>Evidence 32</t>
  </si>
  <si>
    <t>Evidence 33</t>
  </si>
  <si>
    <t>A.15.1</t>
  </si>
  <si>
    <t>Evidence 34</t>
  </si>
  <si>
    <t>Evidence 35</t>
  </si>
  <si>
    <t>Evidence 36</t>
  </si>
  <si>
    <t>Evidence 37</t>
  </si>
  <si>
    <t>A.6.1</t>
  </si>
  <si>
    <t>Evidence 38</t>
  </si>
  <si>
    <t>Evidence 39</t>
  </si>
  <si>
    <t>Evidence 40</t>
  </si>
  <si>
    <t>Evidence 41</t>
  </si>
  <si>
    <t>Evidence 42</t>
  </si>
  <si>
    <t>Evidence 43</t>
  </si>
  <si>
    <t>Evidence 44</t>
  </si>
  <si>
    <t>Evidence 45</t>
  </si>
  <si>
    <t>Evidence 46</t>
  </si>
  <si>
    <t>Evidence 47</t>
  </si>
  <si>
    <t>Evidence 48</t>
  </si>
  <si>
    <t>Evidence 49</t>
  </si>
  <si>
    <t>Evidence 50</t>
  </si>
  <si>
    <t>Evidence 51</t>
  </si>
  <si>
    <t>Evidence 52</t>
  </si>
  <si>
    <t>Evidence 53</t>
  </si>
  <si>
    <t>Evidence 54</t>
  </si>
  <si>
    <t>Evidence 55</t>
  </si>
  <si>
    <t>Evidence 56</t>
  </si>
  <si>
    <t>Evidence 57</t>
  </si>
  <si>
    <t>Evidence 58</t>
  </si>
  <si>
    <t>Evidence 59</t>
  </si>
  <si>
    <t>Evidence 60</t>
  </si>
  <si>
    <t>Evidence 61</t>
  </si>
  <si>
    <t>Evidence 62</t>
  </si>
  <si>
    <t>Evidence 63</t>
  </si>
  <si>
    <t>Evidence 64</t>
  </si>
  <si>
    <t>Evidence 65</t>
  </si>
  <si>
    <t>Evidence 66</t>
  </si>
  <si>
    <t>Evidence 67</t>
  </si>
  <si>
    <t>Evidence 68</t>
  </si>
  <si>
    <t>Evidence 69</t>
  </si>
  <si>
    <t>Evidence 70</t>
  </si>
  <si>
    <t>Evidence 71</t>
  </si>
  <si>
    <t>Evidence 72</t>
  </si>
  <si>
    <t>Evidence 73</t>
  </si>
  <si>
    <t>Evidence 74</t>
  </si>
  <si>
    <t>Evidence 75</t>
  </si>
  <si>
    <t>Evidence 76</t>
  </si>
  <si>
    <t>Evidence 77</t>
  </si>
  <si>
    <t>Evidence 78</t>
  </si>
  <si>
    <t>Evidence 79</t>
  </si>
  <si>
    <t>Evidence 80</t>
  </si>
  <si>
    <t>Evidence 81</t>
  </si>
  <si>
    <t>Evidence 82</t>
  </si>
  <si>
    <t>Evidence 83</t>
  </si>
  <si>
    <t>Evidence 84</t>
  </si>
  <si>
    <t>Evidence 85</t>
  </si>
  <si>
    <t>Evidence 86</t>
  </si>
  <si>
    <t>Evidence 87</t>
  </si>
  <si>
    <t>Evidence 88</t>
  </si>
  <si>
    <t>Evidence 89</t>
  </si>
  <si>
    <t>Evidence 90</t>
  </si>
  <si>
    <t>Evidence 91</t>
  </si>
  <si>
    <t>Evidence 92</t>
  </si>
  <si>
    <t>Evidence 93</t>
  </si>
  <si>
    <t>Evidence 94</t>
  </si>
  <si>
    <t>Evidence 95</t>
  </si>
  <si>
    <t>Evidence 96</t>
  </si>
  <si>
    <t>Evidence 97</t>
  </si>
  <si>
    <t>Evidence 98</t>
  </si>
  <si>
    <t>Evidence 99</t>
  </si>
  <si>
    <t>Evidence 100</t>
  </si>
  <si>
    <t>ENTERPRISE GRC DASHBOARD</t>
  </si>
  <si>
    <t>Total Risks</t>
  </si>
  <si>
    <t>Critical Risks</t>
  </si>
  <si>
    <t>Open Incidents</t>
  </si>
  <si>
    <t>Compliance Rate</t>
  </si>
  <si>
    <t>Vendors Assessed</t>
  </si>
  <si>
    <t>Count</t>
  </si>
  <si>
    <t>Avg Residual</t>
  </si>
  <si>
    <t>Likelihood ?</t>
  </si>
  <si>
    <t>Impact ?</t>
  </si>
  <si>
    <t>DETAILED RISK HEAT MAP</t>
  </si>
  <si>
    <t>Detailed Risk List by Cell:</t>
  </si>
  <si>
    <t>DATA DICTIONARY - GRC MANAGEMENT SYSTEM</t>
  </si>
  <si>
    <t>Table</t>
  </si>
  <si>
    <t>Field</t>
  </si>
  <si>
    <t>Data Type</t>
  </si>
  <si>
    <t>Sample Values</t>
  </si>
  <si>
    <t>Risk Register</t>
  </si>
  <si>
    <t>Text</t>
  </si>
  <si>
    <t>Unique identifier</t>
  </si>
  <si>
    <t>Risk classification</t>
  </si>
  <si>
    <t>Number</t>
  </si>
  <si>
    <t>After controls applied</t>
  </si>
  <si>
    <t>Critical/High/Medium/Low</t>
  </si>
  <si>
    <t>Control Library</t>
  </si>
  <si>
    <t>Preventive/Detective/Corrective</t>
  </si>
  <si>
    <t>Percentage</t>
  </si>
  <si>
    <t>Control effectiveness</t>
  </si>
  <si>
    <t>Incident Log</t>
  </si>
  <si>
    <t>Severity</t>
  </si>
  <si>
    <t>1-5 scale</t>
  </si>
  <si>
    <t>Impact</t>
  </si>
  <si>
    <t>Currency</t>
  </si>
  <si>
    <t>Financial impact</t>
  </si>
  <si>
    <t>Audit Schedule</t>
  </si>
  <si>
    <t>Number of findings</t>
  </si>
  <si>
    <t>Vendor Risk</t>
  </si>
  <si>
    <t>0-100 scale</t>
  </si>
  <si>
    <t>Policy Manager</t>
  </si>
  <si>
    <t>Version number</t>
  </si>
  <si>
    <t>Framework Mapping</t>
  </si>
  <si>
    <t>Compliance framework</t>
  </si>
  <si>
    <t>Active/Mitigated</t>
  </si>
  <si>
    <t>WHAT-IF SCENARIO ANALYSIS</t>
  </si>
  <si>
    <t>Risk Type</t>
  </si>
  <si>
    <t>Current Score</t>
  </si>
  <si>
    <t>Control Improvement</t>
  </si>
  <si>
    <t>Projected Score</t>
  </si>
  <si>
    <t>Risk Reduction</t>
  </si>
  <si>
    <t>Prepared by: Lindiwe Lee Mthembu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</si>
</sst>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&quot;R&quot;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6" fillId="2" borderId="0" xfId="0" applyFont="1" applyFill="1"/>
    <xf numFmtId="9" fontId="0" fillId="0" borderId="0" xfId="0" applyNumberFormat="1"/>
    <xf numFmtId="14" fontId="0" fillId="0" borderId="0" xfId="0" applyNumberFormat="1"/>
    <xf numFmtId="0" fontId="7" fillId="0" borderId="0" xfId="0" applyFont="1"/>
    <xf numFmtId="9" fontId="7" fillId="0" borderId="0" xfId="0" applyNumberFormat="1" applyFont="1"/>
    <xf numFmtId="14" fontId="7" fillId="0" borderId="0" xfId="0" applyNumberFormat="1" applyFont="1"/>
    <xf numFmtId="164" fontId="0" fillId="0" borderId="0" xfId="0" applyNumberFormat="1"/>
    <xf numFmtId="0" fontId="10" fillId="0" borderId="0" xfId="0" applyFont="1"/>
    <xf numFmtId="3" fontId="9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0" fillId="0" borderId="0" xfId="0" applyAlignment="1">
      <alignment textRotation="90"/>
    </xf>
    <xf numFmtId="0" fontId="13" fillId="0" borderId="0" xfId="0" applyFont="1"/>
    <xf numFmtId="0" fontId="14" fillId="3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6" fontId="0" fillId="0" borderId="0" xfId="0" applyNumberFormat="1"/>
    <xf numFmtId="6" fontId="0" fillId="0" borderId="0" xfId="0" applyNumberFormat="1"/>
    <xf numFmtId="0" fontId="8" fillId="2" borderId="0" xfId="0" applyFont="1" applyFill="1"/>
    <xf numFmtId="0" fontId="11" fillId="2" borderId="0" xfId="0" applyFont="1" applyFill="1"/>
  </cellXfs>
  <cellStyles count="1">
    <cellStyle name="Normal" xfId="0" builtinId="0"/>
  </cellStyles>
  <dxfs count="4"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FF9900"/>
        </patternFill>
      </fill>
    </dxf>
    <dxf>
      <font>
        <b/>
        <i val="0"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A669-8590-405B-B1A1-A4B4D4E5664F}">
  <sheetPr codeName="Sheet1"/>
  <dimension ref="A1:A11"/>
  <sheetViews>
    <sheetView tabSelected="1" workbookViewId="0">
      <selection activeCell="A13" sqref="A13"/>
    </sheetView>
  </sheetViews>
  <sheetFormatPr defaultRowHeight="15" x14ac:dyDescent="0.25"/>
  <cols>
    <col min="1" max="2" width="30.7109375" customWidth="1"/>
  </cols>
  <sheetData>
    <row r="1" spans="1:1" ht="36" x14ac:dyDescent="0.55000000000000004">
      <c r="A1" s="1" t="s">
        <v>0</v>
      </c>
    </row>
    <row r="2" spans="1:1" x14ac:dyDescent="0.25">
      <c r="A2" s="2"/>
    </row>
    <row r="3" spans="1:1" ht="23.25" x14ac:dyDescent="0.35">
      <c r="A3" s="3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1843</v>
      </c>
    </row>
    <row r="9" spans="1:1" x14ac:dyDescent="0.25">
      <c r="A9" s="2" t="s">
        <v>4</v>
      </c>
    </row>
    <row r="10" spans="1:1" x14ac:dyDescent="0.25">
      <c r="A10" s="2"/>
    </row>
    <row r="11" spans="1:1" x14ac:dyDescent="0.25">
      <c r="A1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007E-4DBE-4EA2-93D2-81F153A3084D}">
  <sheetPr codeName="Sheet2"/>
  <dimension ref="A1:C12"/>
  <sheetViews>
    <sheetView workbookViewId="0"/>
  </sheetViews>
  <sheetFormatPr defaultRowHeight="15" x14ac:dyDescent="0.25"/>
  <cols>
    <col min="1" max="3" width="25.7109375" style="7" customWidth="1"/>
  </cols>
  <sheetData>
    <row r="1" spans="1:3" ht="63" x14ac:dyDescent="0.35">
      <c r="A1" s="6" t="s">
        <v>6</v>
      </c>
    </row>
    <row r="3" spans="1:3" x14ac:dyDescent="0.25">
      <c r="A3" s="8" t="s">
        <v>7</v>
      </c>
      <c r="B3" s="8" t="s">
        <v>8</v>
      </c>
      <c r="C3" s="8" t="s">
        <v>9</v>
      </c>
    </row>
    <row r="4" spans="1:3" ht="30" x14ac:dyDescent="0.25">
      <c r="A4" s="7" t="s">
        <v>10</v>
      </c>
      <c r="B4" s="7" t="s">
        <v>11</v>
      </c>
      <c r="C4" s="7" t="s">
        <v>12</v>
      </c>
    </row>
    <row r="5" spans="1:3" ht="30" x14ac:dyDescent="0.25">
      <c r="A5" s="7" t="s">
        <v>13</v>
      </c>
      <c r="B5" s="7" t="s">
        <v>14</v>
      </c>
      <c r="C5" s="7" t="s">
        <v>15</v>
      </c>
    </row>
    <row r="6" spans="1:3" ht="30" x14ac:dyDescent="0.25">
      <c r="A6" s="7" t="s">
        <v>16</v>
      </c>
      <c r="B6" s="7" t="s">
        <v>17</v>
      </c>
      <c r="C6" s="7" t="s">
        <v>18</v>
      </c>
    </row>
    <row r="7" spans="1:3" ht="30" x14ac:dyDescent="0.25">
      <c r="A7" s="7" t="s">
        <v>19</v>
      </c>
      <c r="B7" s="7" t="s">
        <v>20</v>
      </c>
      <c r="C7" s="7" t="s">
        <v>21</v>
      </c>
    </row>
    <row r="8" spans="1:3" ht="30" x14ac:dyDescent="0.25">
      <c r="A8" s="7" t="s">
        <v>22</v>
      </c>
      <c r="B8" s="7" t="s">
        <v>23</v>
      </c>
      <c r="C8" s="7" t="s">
        <v>24</v>
      </c>
    </row>
    <row r="9" spans="1:3" ht="30" x14ac:dyDescent="0.25">
      <c r="A9" s="7" t="s">
        <v>25</v>
      </c>
      <c r="B9" s="7" t="s">
        <v>26</v>
      </c>
      <c r="C9" s="7" t="s">
        <v>27</v>
      </c>
    </row>
    <row r="10" spans="1:3" ht="30" x14ac:dyDescent="0.25">
      <c r="A10" s="7" t="s">
        <v>28</v>
      </c>
      <c r="B10" s="7" t="s">
        <v>29</v>
      </c>
      <c r="C10" s="7" t="s">
        <v>30</v>
      </c>
    </row>
    <row r="11" spans="1:3" x14ac:dyDescent="0.25">
      <c r="A11" s="7" t="s">
        <v>31</v>
      </c>
      <c r="B11" s="7" t="s">
        <v>32</v>
      </c>
      <c r="C11" s="7" t="s">
        <v>33</v>
      </c>
    </row>
    <row r="12" spans="1:3" ht="30" x14ac:dyDescent="0.25">
      <c r="A12" s="7" t="s">
        <v>34</v>
      </c>
      <c r="B12" s="7" t="s">
        <v>35</v>
      </c>
      <c r="C12" s="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4A95-C88F-4901-A5A6-5FE8957A9A04}">
  <sheetPr codeName="Sheet3"/>
  <dimension ref="A1:O221"/>
  <sheetViews>
    <sheetView workbookViewId="0"/>
  </sheetViews>
  <sheetFormatPr defaultRowHeight="15" x14ac:dyDescent="0.25"/>
  <cols>
    <col min="1" max="15" width="18.7109375" customWidth="1"/>
  </cols>
  <sheetData>
    <row r="1" spans="1:15" x14ac:dyDescent="0.25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  <c r="N1" s="9" t="s">
        <v>50</v>
      </c>
      <c r="O1" s="9" t="s">
        <v>51</v>
      </c>
    </row>
    <row r="2" spans="1:15" x14ac:dyDescent="0.25">
      <c r="A2" s="12" t="s">
        <v>52</v>
      </c>
      <c r="B2" s="12" t="s">
        <v>53</v>
      </c>
      <c r="C2" s="12" t="s">
        <v>54</v>
      </c>
      <c r="D2" s="12">
        <v>3</v>
      </c>
      <c r="E2" s="12">
        <v>2</v>
      </c>
      <c r="F2" s="12">
        <v>6</v>
      </c>
      <c r="G2" s="13">
        <v>0.44</v>
      </c>
      <c r="H2" s="12">
        <v>1.7</v>
      </c>
      <c r="I2" s="12">
        <v>1.1000000000000001</v>
      </c>
      <c r="J2" s="12">
        <v>1.9</v>
      </c>
      <c r="K2" s="12" t="s">
        <v>55</v>
      </c>
      <c r="L2" s="12" t="s">
        <v>56</v>
      </c>
      <c r="M2" s="14">
        <v>45954</v>
      </c>
      <c r="N2" s="14">
        <v>46530</v>
      </c>
      <c r="O2" s="12" t="s">
        <v>57</v>
      </c>
    </row>
    <row r="3" spans="1:15" x14ac:dyDescent="0.25">
      <c r="A3" s="12" t="s">
        <v>58</v>
      </c>
      <c r="B3" s="12" t="s">
        <v>53</v>
      </c>
      <c r="C3" s="12" t="s">
        <v>59</v>
      </c>
      <c r="D3" s="12">
        <v>3</v>
      </c>
      <c r="E3" s="12">
        <v>5</v>
      </c>
      <c r="F3" s="12">
        <v>15</v>
      </c>
      <c r="G3" s="13">
        <v>0.84</v>
      </c>
      <c r="H3" s="12">
        <v>1</v>
      </c>
      <c r="I3" s="12">
        <v>1</v>
      </c>
      <c r="J3" s="12">
        <v>1</v>
      </c>
      <c r="K3" s="12" t="s">
        <v>60</v>
      </c>
      <c r="L3" s="12" t="s">
        <v>61</v>
      </c>
      <c r="M3" s="14">
        <v>45913</v>
      </c>
      <c r="N3" s="14">
        <v>46253</v>
      </c>
      <c r="O3" s="12" t="s">
        <v>57</v>
      </c>
    </row>
    <row r="4" spans="1:15" x14ac:dyDescent="0.25">
      <c r="A4" s="12" t="s">
        <v>62</v>
      </c>
      <c r="B4" s="12" t="s">
        <v>63</v>
      </c>
      <c r="C4" s="12" t="s">
        <v>64</v>
      </c>
      <c r="D4" s="12">
        <v>3</v>
      </c>
      <c r="E4" s="12">
        <v>4</v>
      </c>
      <c r="F4" s="12">
        <v>12</v>
      </c>
      <c r="G4" s="13">
        <v>0.24</v>
      </c>
      <c r="H4" s="12">
        <v>2.2999999999999998</v>
      </c>
      <c r="I4" s="12">
        <v>3</v>
      </c>
      <c r="J4" s="12">
        <v>6.9</v>
      </c>
      <c r="K4" s="12" t="s">
        <v>65</v>
      </c>
      <c r="L4" s="12" t="s">
        <v>66</v>
      </c>
      <c r="M4" s="14">
        <v>46123</v>
      </c>
      <c r="N4" s="14">
        <v>46460</v>
      </c>
      <c r="O4" s="12" t="s">
        <v>67</v>
      </c>
    </row>
    <row r="5" spans="1:15" x14ac:dyDescent="0.25">
      <c r="A5" s="12" t="s">
        <v>68</v>
      </c>
      <c r="B5" s="12" t="s">
        <v>69</v>
      </c>
      <c r="C5" s="12" t="s">
        <v>70</v>
      </c>
      <c r="D5" s="12">
        <v>2</v>
      </c>
      <c r="E5" s="12">
        <v>5</v>
      </c>
      <c r="F5" s="12">
        <v>10</v>
      </c>
      <c r="G5" s="13">
        <v>0.86</v>
      </c>
      <c r="H5" s="12">
        <v>1</v>
      </c>
      <c r="I5" s="12">
        <v>1</v>
      </c>
      <c r="J5" s="12">
        <v>1</v>
      </c>
      <c r="K5" s="12" t="s">
        <v>60</v>
      </c>
      <c r="L5" s="12" t="s">
        <v>66</v>
      </c>
      <c r="M5" s="14">
        <v>45899</v>
      </c>
      <c r="N5" s="14">
        <v>46315</v>
      </c>
      <c r="O5" s="12" t="s">
        <v>67</v>
      </c>
    </row>
    <row r="6" spans="1:15" x14ac:dyDescent="0.25">
      <c r="A6" s="12" t="s">
        <v>71</v>
      </c>
      <c r="B6" s="12" t="s">
        <v>69</v>
      </c>
      <c r="C6" s="12" t="s">
        <v>72</v>
      </c>
      <c r="D6" s="12">
        <v>2</v>
      </c>
      <c r="E6" s="12">
        <v>3</v>
      </c>
      <c r="F6" s="12">
        <v>6</v>
      </c>
      <c r="G6" s="13">
        <v>0.28000000000000003</v>
      </c>
      <c r="H6" s="12">
        <v>1.4</v>
      </c>
      <c r="I6" s="12">
        <v>2.2000000000000002</v>
      </c>
      <c r="J6" s="12">
        <v>3.1</v>
      </c>
      <c r="K6" s="12" t="s">
        <v>73</v>
      </c>
      <c r="L6" s="12" t="s">
        <v>74</v>
      </c>
      <c r="M6" s="14">
        <v>46226</v>
      </c>
      <c r="N6" s="14">
        <v>46442</v>
      </c>
      <c r="O6" s="12" t="s">
        <v>67</v>
      </c>
    </row>
    <row r="7" spans="1:15" x14ac:dyDescent="0.25">
      <c r="A7" s="12" t="s">
        <v>75</v>
      </c>
      <c r="B7" s="12" t="s">
        <v>76</v>
      </c>
      <c r="C7" s="12" t="s">
        <v>77</v>
      </c>
      <c r="D7" s="12">
        <v>4</v>
      </c>
      <c r="E7" s="12">
        <v>2</v>
      </c>
      <c r="F7" s="12">
        <v>8</v>
      </c>
      <c r="G7" s="13">
        <v>0.23</v>
      </c>
      <c r="H7" s="12">
        <v>3.1</v>
      </c>
      <c r="I7" s="12">
        <v>1.5</v>
      </c>
      <c r="J7" s="12">
        <v>4.5999999999999996</v>
      </c>
      <c r="K7" s="12" t="s">
        <v>78</v>
      </c>
      <c r="L7" s="12" t="s">
        <v>61</v>
      </c>
      <c r="M7" s="14">
        <v>46122</v>
      </c>
      <c r="N7" s="14">
        <v>46579</v>
      </c>
      <c r="O7" s="12" t="s">
        <v>67</v>
      </c>
    </row>
    <row r="8" spans="1:15" x14ac:dyDescent="0.25">
      <c r="A8" s="12" t="s">
        <v>79</v>
      </c>
      <c r="B8" s="12" t="s">
        <v>63</v>
      </c>
      <c r="C8" s="12" t="s">
        <v>80</v>
      </c>
      <c r="D8" s="12">
        <v>2</v>
      </c>
      <c r="E8" s="12">
        <v>1</v>
      </c>
      <c r="F8" s="12">
        <v>2</v>
      </c>
      <c r="G8" s="13">
        <v>0.33</v>
      </c>
      <c r="H8" s="12">
        <v>1.3</v>
      </c>
      <c r="I8" s="12">
        <v>1</v>
      </c>
      <c r="J8" s="12">
        <v>1.3</v>
      </c>
      <c r="K8" s="12" t="s">
        <v>65</v>
      </c>
      <c r="L8" s="12" t="s">
        <v>56</v>
      </c>
      <c r="M8" s="14">
        <v>46081</v>
      </c>
      <c r="N8" s="14">
        <v>46493</v>
      </c>
      <c r="O8" s="12" t="s">
        <v>67</v>
      </c>
    </row>
    <row r="9" spans="1:15" x14ac:dyDescent="0.25">
      <c r="A9" s="12" t="s">
        <v>81</v>
      </c>
      <c r="B9" s="12" t="s">
        <v>82</v>
      </c>
      <c r="C9" s="12" t="s">
        <v>83</v>
      </c>
      <c r="D9" s="12">
        <v>2</v>
      </c>
      <c r="E9" s="12">
        <v>1</v>
      </c>
      <c r="F9" s="12">
        <v>2</v>
      </c>
      <c r="G9" s="13">
        <v>0.67</v>
      </c>
      <c r="H9" s="12">
        <v>1</v>
      </c>
      <c r="I9" s="12">
        <v>1</v>
      </c>
      <c r="J9" s="12">
        <v>1</v>
      </c>
      <c r="K9" s="12" t="s">
        <v>65</v>
      </c>
      <c r="L9" s="12" t="s">
        <v>84</v>
      </c>
      <c r="M9" s="14">
        <v>45901</v>
      </c>
      <c r="N9" s="14">
        <v>46328</v>
      </c>
      <c r="O9" s="12" t="s">
        <v>67</v>
      </c>
    </row>
    <row r="10" spans="1:15" x14ac:dyDescent="0.25">
      <c r="A10" s="12" t="s">
        <v>85</v>
      </c>
      <c r="B10" s="12" t="s">
        <v>53</v>
      </c>
      <c r="C10" s="12" t="s">
        <v>64</v>
      </c>
      <c r="D10" s="12">
        <v>2</v>
      </c>
      <c r="E10" s="12">
        <v>5</v>
      </c>
      <c r="F10" s="12">
        <v>10</v>
      </c>
      <c r="G10" s="13">
        <v>0.71</v>
      </c>
      <c r="H10" s="12">
        <v>1</v>
      </c>
      <c r="I10" s="12">
        <v>1.4</v>
      </c>
      <c r="J10" s="12">
        <v>1.4</v>
      </c>
      <c r="K10" s="12" t="s">
        <v>65</v>
      </c>
      <c r="L10" s="12" t="s">
        <v>56</v>
      </c>
      <c r="M10" s="14">
        <v>46196</v>
      </c>
      <c r="N10" s="14">
        <v>46437</v>
      </c>
      <c r="O10" s="12" t="s">
        <v>67</v>
      </c>
    </row>
    <row r="11" spans="1:15" x14ac:dyDescent="0.25">
      <c r="A11" s="12" t="s">
        <v>86</v>
      </c>
      <c r="B11" s="12" t="s">
        <v>69</v>
      </c>
      <c r="C11" s="12" t="s">
        <v>87</v>
      </c>
      <c r="D11" s="12">
        <v>5</v>
      </c>
      <c r="E11" s="12">
        <v>1</v>
      </c>
      <c r="F11" s="12">
        <v>5</v>
      </c>
      <c r="G11" s="13">
        <v>0.64</v>
      </c>
      <c r="H11" s="12">
        <v>1.8</v>
      </c>
      <c r="I11" s="12">
        <v>1</v>
      </c>
      <c r="J11" s="12">
        <v>1.8</v>
      </c>
      <c r="K11" s="12" t="s">
        <v>65</v>
      </c>
      <c r="L11" s="12" t="s">
        <v>74</v>
      </c>
      <c r="M11" s="14">
        <v>45984</v>
      </c>
      <c r="N11" s="14">
        <v>46416</v>
      </c>
      <c r="O11" s="12" t="s">
        <v>67</v>
      </c>
    </row>
    <row r="12" spans="1:15" x14ac:dyDescent="0.25">
      <c r="A12" s="12" t="s">
        <v>88</v>
      </c>
      <c r="B12" s="12" t="s">
        <v>89</v>
      </c>
      <c r="C12" s="12" t="s">
        <v>90</v>
      </c>
      <c r="D12" s="12">
        <v>2</v>
      </c>
      <c r="E12" s="12">
        <v>3</v>
      </c>
      <c r="F12" s="12">
        <v>6</v>
      </c>
      <c r="G12" s="13">
        <v>0.41</v>
      </c>
      <c r="H12" s="12">
        <v>1.2</v>
      </c>
      <c r="I12" s="12">
        <v>1.8</v>
      </c>
      <c r="J12" s="12">
        <v>2.2000000000000002</v>
      </c>
      <c r="K12" s="12" t="s">
        <v>91</v>
      </c>
      <c r="L12" s="12" t="s">
        <v>84</v>
      </c>
      <c r="M12" s="14">
        <v>45874</v>
      </c>
      <c r="N12" s="14">
        <v>46255</v>
      </c>
      <c r="O12" s="12" t="s">
        <v>67</v>
      </c>
    </row>
    <row r="13" spans="1:15" x14ac:dyDescent="0.25">
      <c r="A13" s="12" t="s">
        <v>92</v>
      </c>
      <c r="B13" s="12" t="s">
        <v>82</v>
      </c>
      <c r="C13" s="12" t="s">
        <v>64</v>
      </c>
      <c r="D13" s="12">
        <v>3</v>
      </c>
      <c r="E13" s="12">
        <v>1</v>
      </c>
      <c r="F13" s="12">
        <v>3</v>
      </c>
      <c r="G13" s="13">
        <v>0.57999999999999996</v>
      </c>
      <c r="H13" s="12">
        <v>1.3</v>
      </c>
      <c r="I13" s="12">
        <v>1</v>
      </c>
      <c r="J13" s="12">
        <v>1.3</v>
      </c>
      <c r="K13" s="12" t="s">
        <v>73</v>
      </c>
      <c r="L13" s="12" t="s">
        <v>61</v>
      </c>
      <c r="M13" s="14">
        <v>46034</v>
      </c>
      <c r="N13" s="14">
        <v>46290</v>
      </c>
      <c r="O13" s="12" t="s">
        <v>67</v>
      </c>
    </row>
    <row r="14" spans="1:15" x14ac:dyDescent="0.25">
      <c r="A14" s="12" t="s">
        <v>93</v>
      </c>
      <c r="B14" s="12" t="s">
        <v>63</v>
      </c>
      <c r="C14" s="12" t="s">
        <v>94</v>
      </c>
      <c r="D14" s="12">
        <v>3</v>
      </c>
      <c r="E14" s="12">
        <v>2</v>
      </c>
      <c r="F14" s="12">
        <v>6</v>
      </c>
      <c r="G14" s="13">
        <v>0.28000000000000003</v>
      </c>
      <c r="H14" s="12">
        <v>2.2000000000000002</v>
      </c>
      <c r="I14" s="12">
        <v>1.4</v>
      </c>
      <c r="J14" s="12">
        <v>3.1</v>
      </c>
      <c r="K14" s="12" t="s">
        <v>65</v>
      </c>
      <c r="L14" s="12" t="s">
        <v>56</v>
      </c>
      <c r="M14" s="14">
        <v>45956</v>
      </c>
      <c r="N14" s="14">
        <v>46450</v>
      </c>
      <c r="O14" s="12" t="s">
        <v>67</v>
      </c>
    </row>
    <row r="15" spans="1:15" x14ac:dyDescent="0.25">
      <c r="A15" s="12" t="s">
        <v>95</v>
      </c>
      <c r="B15" s="12" t="s">
        <v>96</v>
      </c>
      <c r="C15" s="12" t="s">
        <v>97</v>
      </c>
      <c r="D15" s="12">
        <v>2</v>
      </c>
      <c r="E15" s="12">
        <v>1</v>
      </c>
      <c r="F15" s="12">
        <v>2</v>
      </c>
      <c r="G15" s="13">
        <v>0.28000000000000003</v>
      </c>
      <c r="H15" s="12">
        <v>1.4</v>
      </c>
      <c r="I15" s="12">
        <v>1</v>
      </c>
      <c r="J15" s="12">
        <v>1.4</v>
      </c>
      <c r="K15" s="12" t="s">
        <v>98</v>
      </c>
      <c r="L15" s="12" t="s">
        <v>61</v>
      </c>
      <c r="M15" s="14">
        <v>46231</v>
      </c>
      <c r="N15" s="14">
        <v>46428</v>
      </c>
      <c r="O15" s="12" t="s">
        <v>67</v>
      </c>
    </row>
    <row r="16" spans="1:15" x14ac:dyDescent="0.25">
      <c r="A16" s="12" t="s">
        <v>99</v>
      </c>
      <c r="B16" s="12" t="s">
        <v>69</v>
      </c>
      <c r="C16" s="12" t="s">
        <v>100</v>
      </c>
      <c r="D16" s="12">
        <v>5</v>
      </c>
      <c r="E16" s="12">
        <v>1</v>
      </c>
      <c r="F16" s="12">
        <v>5</v>
      </c>
      <c r="G16" s="13">
        <v>0.35</v>
      </c>
      <c r="H16" s="12">
        <v>3.2</v>
      </c>
      <c r="I16" s="12">
        <v>1</v>
      </c>
      <c r="J16" s="12">
        <v>3.2</v>
      </c>
      <c r="K16" s="12" t="s">
        <v>65</v>
      </c>
      <c r="L16" s="12" t="s">
        <v>56</v>
      </c>
      <c r="M16" s="14">
        <v>46101</v>
      </c>
      <c r="N16" s="14">
        <v>46287</v>
      </c>
      <c r="O16" s="12" t="s">
        <v>67</v>
      </c>
    </row>
    <row r="17" spans="1:15" x14ac:dyDescent="0.25">
      <c r="A17" s="12" t="s">
        <v>101</v>
      </c>
      <c r="B17" s="12" t="s">
        <v>53</v>
      </c>
      <c r="C17" s="12" t="s">
        <v>102</v>
      </c>
      <c r="D17" s="12">
        <v>3</v>
      </c>
      <c r="E17" s="12">
        <v>1</v>
      </c>
      <c r="F17" s="12">
        <v>3</v>
      </c>
      <c r="G17" s="13">
        <v>0.81</v>
      </c>
      <c r="H17" s="12">
        <v>1</v>
      </c>
      <c r="I17" s="12">
        <v>1</v>
      </c>
      <c r="J17" s="12">
        <v>1</v>
      </c>
      <c r="K17" s="12" t="s">
        <v>65</v>
      </c>
      <c r="L17" s="12" t="s">
        <v>66</v>
      </c>
      <c r="M17" s="14">
        <v>46052</v>
      </c>
      <c r="N17" s="14">
        <v>46308</v>
      </c>
      <c r="O17" s="12" t="s">
        <v>67</v>
      </c>
    </row>
    <row r="18" spans="1:15" x14ac:dyDescent="0.25">
      <c r="A18" s="12" t="s">
        <v>103</v>
      </c>
      <c r="B18" s="12" t="s">
        <v>82</v>
      </c>
      <c r="C18" s="12" t="s">
        <v>104</v>
      </c>
      <c r="D18" s="12">
        <v>3</v>
      </c>
      <c r="E18" s="12">
        <v>1</v>
      </c>
      <c r="F18" s="12">
        <v>3</v>
      </c>
      <c r="G18" s="13">
        <v>0.95</v>
      </c>
      <c r="H18" s="12">
        <v>1</v>
      </c>
      <c r="I18" s="12">
        <v>1</v>
      </c>
      <c r="J18" s="12">
        <v>1</v>
      </c>
      <c r="K18" s="12" t="s">
        <v>65</v>
      </c>
      <c r="L18" s="12" t="s">
        <v>84</v>
      </c>
      <c r="M18" s="14">
        <v>46132</v>
      </c>
      <c r="N18" s="14">
        <v>46551</v>
      </c>
      <c r="O18" s="12" t="s">
        <v>67</v>
      </c>
    </row>
    <row r="19" spans="1:15" x14ac:dyDescent="0.25">
      <c r="A19" s="12" t="s">
        <v>105</v>
      </c>
      <c r="B19" s="12" t="s">
        <v>53</v>
      </c>
      <c r="C19" s="12" t="s">
        <v>70</v>
      </c>
      <c r="D19" s="12">
        <v>4</v>
      </c>
      <c r="E19" s="12">
        <v>2</v>
      </c>
      <c r="F19" s="12">
        <v>8</v>
      </c>
      <c r="G19" s="13">
        <v>0.27</v>
      </c>
      <c r="H19" s="12">
        <v>2.9</v>
      </c>
      <c r="I19" s="12">
        <v>1.5</v>
      </c>
      <c r="J19" s="12">
        <v>4.4000000000000004</v>
      </c>
      <c r="K19" s="12" t="s">
        <v>78</v>
      </c>
      <c r="L19" s="12" t="s">
        <v>84</v>
      </c>
      <c r="M19" s="14">
        <v>45943</v>
      </c>
      <c r="N19" s="14">
        <v>46341</v>
      </c>
      <c r="O19" s="12" t="s">
        <v>67</v>
      </c>
    </row>
    <row r="20" spans="1:15" x14ac:dyDescent="0.25">
      <c r="A20" s="12" t="s">
        <v>106</v>
      </c>
      <c r="B20" s="12" t="s">
        <v>107</v>
      </c>
      <c r="C20" s="12" t="s">
        <v>108</v>
      </c>
      <c r="D20" s="12">
        <v>2</v>
      </c>
      <c r="E20" s="12">
        <v>2</v>
      </c>
      <c r="F20" s="12">
        <v>4</v>
      </c>
      <c r="G20" s="13">
        <v>0.23</v>
      </c>
      <c r="H20" s="12">
        <v>1.5</v>
      </c>
      <c r="I20" s="12">
        <v>1.5</v>
      </c>
      <c r="J20" s="12">
        <v>2.2000000000000002</v>
      </c>
      <c r="K20" s="12" t="s">
        <v>91</v>
      </c>
      <c r="L20" s="12" t="s">
        <v>66</v>
      </c>
      <c r="M20" s="14">
        <v>45916</v>
      </c>
      <c r="N20" s="14">
        <v>46447</v>
      </c>
      <c r="O20" s="12" t="s">
        <v>67</v>
      </c>
    </row>
    <row r="21" spans="1:15" x14ac:dyDescent="0.25">
      <c r="A21" s="12" t="s">
        <v>109</v>
      </c>
      <c r="B21" s="12" t="s">
        <v>53</v>
      </c>
      <c r="C21" s="12" t="s">
        <v>102</v>
      </c>
      <c r="D21" s="12">
        <v>2</v>
      </c>
      <c r="E21" s="12">
        <v>3</v>
      </c>
      <c r="F21" s="12">
        <v>6</v>
      </c>
      <c r="G21" s="13">
        <v>0.26</v>
      </c>
      <c r="H21" s="12">
        <v>1.5</v>
      </c>
      <c r="I21" s="12">
        <v>2.2000000000000002</v>
      </c>
      <c r="J21" s="12">
        <v>3.3</v>
      </c>
      <c r="K21" s="12" t="s">
        <v>65</v>
      </c>
      <c r="L21" s="12" t="s">
        <v>56</v>
      </c>
      <c r="M21" s="14">
        <v>45881</v>
      </c>
      <c r="N21" s="14">
        <v>46274</v>
      </c>
      <c r="O21" s="12" t="s">
        <v>67</v>
      </c>
    </row>
    <row r="22" spans="1:15" x14ac:dyDescent="0.25">
      <c r="A22" s="12" t="s">
        <v>110</v>
      </c>
      <c r="B22" s="12" t="s">
        <v>63</v>
      </c>
      <c r="C22" s="12" t="s">
        <v>83</v>
      </c>
      <c r="D22" s="12">
        <v>2</v>
      </c>
      <c r="E22" s="12">
        <v>1</v>
      </c>
      <c r="F22" s="12">
        <v>2</v>
      </c>
      <c r="G22" s="13">
        <v>0.57999999999999996</v>
      </c>
      <c r="H22" s="12">
        <v>1</v>
      </c>
      <c r="I22" s="12">
        <v>1</v>
      </c>
      <c r="J22" s="12">
        <v>1</v>
      </c>
      <c r="K22" s="12" t="s">
        <v>60</v>
      </c>
      <c r="L22" s="12" t="s">
        <v>61</v>
      </c>
      <c r="M22" s="14">
        <v>46184</v>
      </c>
      <c r="N22" s="14">
        <v>46243</v>
      </c>
      <c r="O22" s="12" t="s">
        <v>67</v>
      </c>
    </row>
    <row r="23" spans="1:15" x14ac:dyDescent="0.25">
      <c r="A23" s="12" t="s">
        <v>111</v>
      </c>
      <c r="B23" s="12" t="s">
        <v>82</v>
      </c>
      <c r="C23" s="12" t="s">
        <v>100</v>
      </c>
      <c r="D23" s="12">
        <v>5</v>
      </c>
      <c r="E23" s="12">
        <v>3</v>
      </c>
      <c r="F23" s="12">
        <v>15</v>
      </c>
      <c r="G23" s="13">
        <v>0.52</v>
      </c>
      <c r="H23" s="12">
        <v>2.4</v>
      </c>
      <c r="I23" s="12">
        <v>1.4</v>
      </c>
      <c r="J23" s="12">
        <v>3.4</v>
      </c>
      <c r="K23" s="12" t="s">
        <v>112</v>
      </c>
      <c r="L23" s="12" t="s">
        <v>74</v>
      </c>
      <c r="M23" s="14">
        <v>45986</v>
      </c>
      <c r="N23" s="14">
        <v>46496</v>
      </c>
      <c r="O23" s="12" t="s">
        <v>67</v>
      </c>
    </row>
    <row r="24" spans="1:15" x14ac:dyDescent="0.25">
      <c r="A24" s="12" t="s">
        <v>113</v>
      </c>
      <c r="B24" s="12" t="s">
        <v>63</v>
      </c>
      <c r="C24" s="12" t="s">
        <v>114</v>
      </c>
      <c r="D24" s="12">
        <v>3</v>
      </c>
      <c r="E24" s="12">
        <v>3</v>
      </c>
      <c r="F24" s="12">
        <v>9</v>
      </c>
      <c r="G24" s="13">
        <v>0.76</v>
      </c>
      <c r="H24" s="12">
        <v>1</v>
      </c>
      <c r="I24" s="12">
        <v>1</v>
      </c>
      <c r="J24" s="12">
        <v>1</v>
      </c>
      <c r="K24" s="12" t="s">
        <v>65</v>
      </c>
      <c r="L24" s="12" t="s">
        <v>84</v>
      </c>
      <c r="M24" s="14">
        <v>46033</v>
      </c>
      <c r="N24" s="14">
        <v>46530</v>
      </c>
      <c r="O24" s="12" t="s">
        <v>67</v>
      </c>
    </row>
    <row r="25" spans="1:15" x14ac:dyDescent="0.25">
      <c r="A25" s="12" t="s">
        <v>115</v>
      </c>
      <c r="B25" s="12" t="s">
        <v>89</v>
      </c>
      <c r="C25" s="12" t="s">
        <v>116</v>
      </c>
      <c r="D25" s="12">
        <v>3</v>
      </c>
      <c r="E25" s="12">
        <v>2</v>
      </c>
      <c r="F25" s="12">
        <v>6</v>
      </c>
      <c r="G25" s="13">
        <v>0.7</v>
      </c>
      <c r="H25" s="12">
        <v>1</v>
      </c>
      <c r="I25" s="12">
        <v>1</v>
      </c>
      <c r="J25" s="12">
        <v>1</v>
      </c>
      <c r="K25" s="12" t="s">
        <v>73</v>
      </c>
      <c r="L25" s="12" t="s">
        <v>66</v>
      </c>
      <c r="M25" s="14">
        <v>45908</v>
      </c>
      <c r="N25" s="14">
        <v>46368</v>
      </c>
      <c r="O25" s="12" t="s">
        <v>67</v>
      </c>
    </row>
    <row r="26" spans="1:15" x14ac:dyDescent="0.25">
      <c r="A26" s="12" t="s">
        <v>117</v>
      </c>
      <c r="B26" s="12" t="s">
        <v>82</v>
      </c>
      <c r="C26" s="12" t="s">
        <v>118</v>
      </c>
      <c r="D26" s="12">
        <v>1</v>
      </c>
      <c r="E26" s="12">
        <v>3</v>
      </c>
      <c r="F26" s="12">
        <v>3</v>
      </c>
      <c r="G26" s="13">
        <v>0.38</v>
      </c>
      <c r="H26" s="12">
        <v>1</v>
      </c>
      <c r="I26" s="12">
        <v>1.9</v>
      </c>
      <c r="J26" s="12">
        <v>1.9</v>
      </c>
      <c r="K26" s="12" t="s">
        <v>78</v>
      </c>
      <c r="L26" s="12" t="s">
        <v>66</v>
      </c>
      <c r="M26" s="14">
        <v>45912</v>
      </c>
      <c r="N26" s="14">
        <v>46407</v>
      </c>
      <c r="O26" s="12" t="s">
        <v>67</v>
      </c>
    </row>
    <row r="27" spans="1:15" x14ac:dyDescent="0.25">
      <c r="A27" s="12" t="s">
        <v>119</v>
      </c>
      <c r="B27" s="12" t="s">
        <v>76</v>
      </c>
      <c r="C27" s="12" t="s">
        <v>120</v>
      </c>
      <c r="D27" s="12">
        <v>4</v>
      </c>
      <c r="E27" s="12">
        <v>4</v>
      </c>
      <c r="F27" s="12">
        <v>16</v>
      </c>
      <c r="G27" s="13">
        <v>0.83</v>
      </c>
      <c r="H27" s="12">
        <v>1</v>
      </c>
      <c r="I27" s="12">
        <v>1</v>
      </c>
      <c r="J27" s="12">
        <v>1</v>
      </c>
      <c r="K27" s="12" t="s">
        <v>112</v>
      </c>
      <c r="L27" s="12" t="s">
        <v>84</v>
      </c>
      <c r="M27" s="14">
        <v>46158</v>
      </c>
      <c r="N27" s="14">
        <v>46582</v>
      </c>
      <c r="O27" s="12" t="s">
        <v>67</v>
      </c>
    </row>
    <row r="28" spans="1:15" x14ac:dyDescent="0.25">
      <c r="A28" s="12" t="s">
        <v>121</v>
      </c>
      <c r="B28" s="12" t="s">
        <v>122</v>
      </c>
      <c r="C28" s="12" t="s">
        <v>123</v>
      </c>
      <c r="D28" s="12">
        <v>4</v>
      </c>
      <c r="E28" s="12">
        <v>2</v>
      </c>
      <c r="F28" s="12">
        <v>8</v>
      </c>
      <c r="G28" s="13">
        <v>0.56999999999999995</v>
      </c>
      <c r="H28" s="12">
        <v>1.7</v>
      </c>
      <c r="I28" s="12">
        <v>1</v>
      </c>
      <c r="J28" s="12">
        <v>1.7</v>
      </c>
      <c r="K28" s="12" t="s">
        <v>98</v>
      </c>
      <c r="L28" s="12" t="s">
        <v>84</v>
      </c>
      <c r="M28" s="14">
        <v>46168</v>
      </c>
      <c r="N28" s="14">
        <v>46250</v>
      </c>
      <c r="O28" s="12" t="s">
        <v>67</v>
      </c>
    </row>
    <row r="29" spans="1:15" x14ac:dyDescent="0.25">
      <c r="A29" s="12" t="s">
        <v>124</v>
      </c>
      <c r="B29" s="12" t="s">
        <v>53</v>
      </c>
      <c r="C29" s="12" t="s">
        <v>54</v>
      </c>
      <c r="D29" s="12">
        <v>3</v>
      </c>
      <c r="E29" s="12">
        <v>2</v>
      </c>
      <c r="F29" s="12">
        <v>6</v>
      </c>
      <c r="G29" s="13">
        <v>0.56999999999999995</v>
      </c>
      <c r="H29" s="12">
        <v>1.3</v>
      </c>
      <c r="I29" s="12">
        <v>1</v>
      </c>
      <c r="J29" s="12">
        <v>1.3</v>
      </c>
      <c r="K29" s="12" t="s">
        <v>125</v>
      </c>
      <c r="L29" s="12" t="s">
        <v>56</v>
      </c>
      <c r="M29" s="14">
        <v>46086</v>
      </c>
      <c r="N29" s="14">
        <v>46562</v>
      </c>
      <c r="O29" s="12" t="s">
        <v>67</v>
      </c>
    </row>
    <row r="30" spans="1:15" x14ac:dyDescent="0.25">
      <c r="A30" s="12" t="s">
        <v>126</v>
      </c>
      <c r="B30" s="12" t="s">
        <v>53</v>
      </c>
      <c r="C30" s="12" t="s">
        <v>104</v>
      </c>
      <c r="D30" s="12">
        <v>4</v>
      </c>
      <c r="E30" s="12">
        <v>4</v>
      </c>
      <c r="F30" s="12">
        <v>16</v>
      </c>
      <c r="G30" s="13">
        <v>0.21</v>
      </c>
      <c r="H30" s="12">
        <v>3.2</v>
      </c>
      <c r="I30" s="12">
        <v>3.2</v>
      </c>
      <c r="J30" s="12">
        <v>10.199999999999999</v>
      </c>
      <c r="K30" s="12" t="s">
        <v>65</v>
      </c>
      <c r="L30" s="12" t="s">
        <v>66</v>
      </c>
      <c r="M30" s="14">
        <v>46131</v>
      </c>
      <c r="N30" s="14">
        <v>46592</v>
      </c>
      <c r="O30" s="12" t="s">
        <v>67</v>
      </c>
    </row>
    <row r="31" spans="1:15" x14ac:dyDescent="0.25">
      <c r="A31" s="12" t="s">
        <v>127</v>
      </c>
      <c r="B31" s="12" t="s">
        <v>96</v>
      </c>
      <c r="C31" s="12" t="s">
        <v>120</v>
      </c>
      <c r="D31" s="12">
        <v>3</v>
      </c>
      <c r="E31" s="12">
        <v>4</v>
      </c>
      <c r="F31" s="12">
        <v>12</v>
      </c>
      <c r="G31" s="13">
        <v>0.42</v>
      </c>
      <c r="H31" s="12">
        <v>1.7</v>
      </c>
      <c r="I31" s="12">
        <v>2.2999999999999998</v>
      </c>
      <c r="J31" s="12">
        <v>3.9</v>
      </c>
      <c r="K31" s="12" t="s">
        <v>65</v>
      </c>
      <c r="L31" s="12" t="s">
        <v>61</v>
      </c>
      <c r="M31" s="14">
        <v>45887</v>
      </c>
      <c r="N31" s="14">
        <v>46277</v>
      </c>
      <c r="O31" s="12" t="s">
        <v>67</v>
      </c>
    </row>
    <row r="32" spans="1:15" x14ac:dyDescent="0.25">
      <c r="A32" s="12" t="s">
        <v>128</v>
      </c>
      <c r="B32" s="12" t="s">
        <v>69</v>
      </c>
      <c r="C32" s="12" t="s">
        <v>129</v>
      </c>
      <c r="D32" s="12">
        <v>1</v>
      </c>
      <c r="E32" s="12">
        <v>1</v>
      </c>
      <c r="F32" s="12">
        <v>1</v>
      </c>
      <c r="G32" s="13">
        <v>0.26</v>
      </c>
      <c r="H32" s="12">
        <v>1</v>
      </c>
      <c r="I32" s="12">
        <v>1</v>
      </c>
      <c r="J32" s="12">
        <v>1</v>
      </c>
      <c r="K32" s="12" t="s">
        <v>60</v>
      </c>
      <c r="L32" s="12" t="s">
        <v>66</v>
      </c>
      <c r="M32" s="14">
        <v>46034</v>
      </c>
      <c r="N32" s="14">
        <v>46413</v>
      </c>
      <c r="O32" s="12" t="s">
        <v>67</v>
      </c>
    </row>
    <row r="33" spans="1:15" x14ac:dyDescent="0.25">
      <c r="A33" s="12" t="s">
        <v>130</v>
      </c>
      <c r="B33" s="12" t="s">
        <v>63</v>
      </c>
      <c r="C33" s="12" t="s">
        <v>131</v>
      </c>
      <c r="D33" s="12">
        <v>2</v>
      </c>
      <c r="E33" s="12">
        <v>2</v>
      </c>
      <c r="F33" s="12">
        <v>4</v>
      </c>
      <c r="G33" s="13">
        <v>0.42</v>
      </c>
      <c r="H33" s="12">
        <v>1.2</v>
      </c>
      <c r="I33" s="12">
        <v>1.2</v>
      </c>
      <c r="J33" s="12">
        <v>1.4</v>
      </c>
      <c r="K33" s="12" t="s">
        <v>98</v>
      </c>
      <c r="L33" s="12" t="s">
        <v>66</v>
      </c>
      <c r="M33" s="14">
        <v>46043</v>
      </c>
      <c r="N33" s="14">
        <v>46585</v>
      </c>
      <c r="O33" s="12" t="s">
        <v>67</v>
      </c>
    </row>
    <row r="34" spans="1:15" x14ac:dyDescent="0.25">
      <c r="A34" s="12" t="s">
        <v>132</v>
      </c>
      <c r="B34" s="12" t="s">
        <v>89</v>
      </c>
      <c r="C34" s="12" t="s">
        <v>87</v>
      </c>
      <c r="D34" s="12">
        <v>4</v>
      </c>
      <c r="E34" s="12">
        <v>3</v>
      </c>
      <c r="F34" s="12">
        <v>12</v>
      </c>
      <c r="G34" s="13">
        <v>0.76</v>
      </c>
      <c r="H34" s="12">
        <v>1</v>
      </c>
      <c r="I34" s="12">
        <v>1</v>
      </c>
      <c r="J34" s="12">
        <v>1</v>
      </c>
      <c r="K34" s="12" t="s">
        <v>125</v>
      </c>
      <c r="L34" s="12" t="s">
        <v>84</v>
      </c>
      <c r="M34" s="14">
        <v>45976</v>
      </c>
      <c r="N34" s="14">
        <v>46414</v>
      </c>
      <c r="O34" s="12" t="s">
        <v>67</v>
      </c>
    </row>
    <row r="35" spans="1:15" x14ac:dyDescent="0.25">
      <c r="A35" s="12" t="s">
        <v>133</v>
      </c>
      <c r="B35" s="12" t="s">
        <v>76</v>
      </c>
      <c r="C35" s="12" t="s">
        <v>134</v>
      </c>
      <c r="D35" s="12">
        <v>2</v>
      </c>
      <c r="E35" s="12">
        <v>4</v>
      </c>
      <c r="F35" s="12">
        <v>8</v>
      </c>
      <c r="G35" s="13">
        <v>0.24</v>
      </c>
      <c r="H35" s="12">
        <v>1.5</v>
      </c>
      <c r="I35" s="12">
        <v>3</v>
      </c>
      <c r="J35" s="12">
        <v>4.5</v>
      </c>
      <c r="K35" s="12" t="s">
        <v>125</v>
      </c>
      <c r="L35" s="12" t="s">
        <v>66</v>
      </c>
      <c r="M35" s="14">
        <v>45939</v>
      </c>
      <c r="N35" s="14">
        <v>46351</v>
      </c>
      <c r="O35" s="12" t="s">
        <v>67</v>
      </c>
    </row>
    <row r="36" spans="1:15" x14ac:dyDescent="0.25">
      <c r="A36" s="12" t="s">
        <v>135</v>
      </c>
      <c r="B36" s="12" t="s">
        <v>63</v>
      </c>
      <c r="C36" s="12" t="s">
        <v>136</v>
      </c>
      <c r="D36" s="12">
        <v>4</v>
      </c>
      <c r="E36" s="12">
        <v>5</v>
      </c>
      <c r="F36" s="12">
        <v>20</v>
      </c>
      <c r="G36" s="13">
        <v>0.9</v>
      </c>
      <c r="H36" s="12">
        <v>1</v>
      </c>
      <c r="I36" s="12">
        <v>1</v>
      </c>
      <c r="J36" s="12">
        <v>1</v>
      </c>
      <c r="K36" s="12" t="s">
        <v>98</v>
      </c>
      <c r="L36" s="12" t="s">
        <v>66</v>
      </c>
      <c r="M36" s="14">
        <v>45883</v>
      </c>
      <c r="N36" s="14">
        <v>46524</v>
      </c>
      <c r="O36" s="12" t="s">
        <v>67</v>
      </c>
    </row>
    <row r="37" spans="1:15" x14ac:dyDescent="0.25">
      <c r="A37" s="12" t="s">
        <v>137</v>
      </c>
      <c r="B37" s="12" t="s">
        <v>69</v>
      </c>
      <c r="C37" s="12" t="s">
        <v>80</v>
      </c>
      <c r="D37" s="12">
        <v>1</v>
      </c>
      <c r="E37" s="12">
        <v>1</v>
      </c>
      <c r="F37" s="12">
        <v>1</v>
      </c>
      <c r="G37" s="13">
        <v>0.33</v>
      </c>
      <c r="H37" s="12">
        <v>1</v>
      </c>
      <c r="I37" s="12">
        <v>1</v>
      </c>
      <c r="J37" s="12">
        <v>1</v>
      </c>
      <c r="K37" s="12" t="s">
        <v>65</v>
      </c>
      <c r="L37" s="12" t="s">
        <v>66</v>
      </c>
      <c r="M37" s="14">
        <v>46193</v>
      </c>
      <c r="N37" s="14">
        <v>46333</v>
      </c>
      <c r="O37" s="12" t="s">
        <v>67</v>
      </c>
    </row>
    <row r="38" spans="1:15" x14ac:dyDescent="0.25">
      <c r="A38" s="12" t="s">
        <v>138</v>
      </c>
      <c r="B38" s="12" t="s">
        <v>69</v>
      </c>
      <c r="C38" s="12" t="s">
        <v>139</v>
      </c>
      <c r="D38" s="12">
        <v>3</v>
      </c>
      <c r="E38" s="12">
        <v>1</v>
      </c>
      <c r="F38" s="12">
        <v>3</v>
      </c>
      <c r="G38" s="13">
        <v>0.92</v>
      </c>
      <c r="H38" s="12">
        <v>1</v>
      </c>
      <c r="I38" s="12">
        <v>1</v>
      </c>
      <c r="J38" s="12">
        <v>1</v>
      </c>
      <c r="K38" s="12" t="s">
        <v>78</v>
      </c>
      <c r="L38" s="12" t="s">
        <v>61</v>
      </c>
      <c r="M38" s="14">
        <v>45950</v>
      </c>
      <c r="N38" s="14">
        <v>46312</v>
      </c>
      <c r="O38" s="12" t="s">
        <v>67</v>
      </c>
    </row>
    <row r="39" spans="1:15" x14ac:dyDescent="0.25">
      <c r="A39" s="12" t="s">
        <v>140</v>
      </c>
      <c r="B39" s="12" t="s">
        <v>141</v>
      </c>
      <c r="C39" s="12" t="s">
        <v>134</v>
      </c>
      <c r="D39" s="12">
        <v>5</v>
      </c>
      <c r="E39" s="12">
        <v>4</v>
      </c>
      <c r="F39" s="12">
        <v>20</v>
      </c>
      <c r="G39" s="13">
        <v>0.5</v>
      </c>
      <c r="H39" s="12">
        <v>2.5</v>
      </c>
      <c r="I39" s="12">
        <v>2</v>
      </c>
      <c r="J39" s="12">
        <v>5</v>
      </c>
      <c r="K39" s="12" t="s">
        <v>112</v>
      </c>
      <c r="L39" s="12" t="s">
        <v>61</v>
      </c>
      <c r="M39" s="14">
        <v>46018</v>
      </c>
      <c r="N39" s="14">
        <v>46573</v>
      </c>
      <c r="O39" s="12" t="s">
        <v>67</v>
      </c>
    </row>
    <row r="40" spans="1:15" x14ac:dyDescent="0.25">
      <c r="A40" s="12" t="s">
        <v>142</v>
      </c>
      <c r="B40" s="12" t="s">
        <v>89</v>
      </c>
      <c r="C40" s="12" t="s">
        <v>114</v>
      </c>
      <c r="D40" s="12">
        <v>5</v>
      </c>
      <c r="E40" s="12">
        <v>2</v>
      </c>
      <c r="F40" s="12">
        <v>10</v>
      </c>
      <c r="G40" s="13">
        <v>0.41</v>
      </c>
      <c r="H40" s="12">
        <v>3</v>
      </c>
      <c r="I40" s="12">
        <v>1.2</v>
      </c>
      <c r="J40" s="12">
        <v>3.6</v>
      </c>
      <c r="K40" s="12" t="s">
        <v>78</v>
      </c>
      <c r="L40" s="12" t="s">
        <v>84</v>
      </c>
      <c r="M40" s="14">
        <v>46231</v>
      </c>
      <c r="N40" s="14">
        <v>46503</v>
      </c>
      <c r="O40" s="12" t="s">
        <v>67</v>
      </c>
    </row>
    <row r="41" spans="1:15" x14ac:dyDescent="0.25">
      <c r="A41" s="12" t="s">
        <v>143</v>
      </c>
      <c r="B41" s="12" t="s">
        <v>96</v>
      </c>
      <c r="C41" s="12" t="s">
        <v>70</v>
      </c>
      <c r="D41" s="12">
        <v>4</v>
      </c>
      <c r="E41" s="12">
        <v>3</v>
      </c>
      <c r="F41" s="12">
        <v>12</v>
      </c>
      <c r="G41" s="13">
        <v>0.85</v>
      </c>
      <c r="H41" s="12">
        <v>1</v>
      </c>
      <c r="I41" s="12">
        <v>1</v>
      </c>
      <c r="J41" s="12">
        <v>1</v>
      </c>
      <c r="K41" s="12" t="s">
        <v>65</v>
      </c>
      <c r="L41" s="12" t="s">
        <v>56</v>
      </c>
      <c r="M41" s="14">
        <v>46203</v>
      </c>
      <c r="N41" s="14">
        <v>46382</v>
      </c>
      <c r="O41" s="12" t="s">
        <v>67</v>
      </c>
    </row>
    <row r="42" spans="1:15" x14ac:dyDescent="0.25">
      <c r="A42" s="12" t="s">
        <v>144</v>
      </c>
      <c r="B42" s="12" t="s">
        <v>82</v>
      </c>
      <c r="C42" s="12" t="s">
        <v>145</v>
      </c>
      <c r="D42" s="12">
        <v>2</v>
      </c>
      <c r="E42" s="12">
        <v>4</v>
      </c>
      <c r="F42" s="12">
        <v>8</v>
      </c>
      <c r="G42" s="13">
        <v>0.32</v>
      </c>
      <c r="H42" s="12">
        <v>1.4</v>
      </c>
      <c r="I42" s="12">
        <v>2.7</v>
      </c>
      <c r="J42" s="12">
        <v>3.8</v>
      </c>
      <c r="K42" s="12" t="s">
        <v>60</v>
      </c>
      <c r="L42" s="12" t="s">
        <v>66</v>
      </c>
      <c r="M42" s="14">
        <v>46143</v>
      </c>
      <c r="N42" s="14">
        <v>46576</v>
      </c>
      <c r="O42" s="12" t="s">
        <v>67</v>
      </c>
    </row>
    <row r="43" spans="1:15" x14ac:dyDescent="0.25">
      <c r="A43" s="12" t="s">
        <v>146</v>
      </c>
      <c r="B43" s="12" t="s">
        <v>76</v>
      </c>
      <c r="C43" s="12" t="s">
        <v>72</v>
      </c>
      <c r="D43" s="12">
        <v>4</v>
      </c>
      <c r="E43" s="12">
        <v>3</v>
      </c>
      <c r="F43" s="12">
        <v>12</v>
      </c>
      <c r="G43" s="13">
        <v>0.93</v>
      </c>
      <c r="H43" s="12">
        <v>1</v>
      </c>
      <c r="I43" s="12">
        <v>1</v>
      </c>
      <c r="J43" s="12">
        <v>1</v>
      </c>
      <c r="K43" s="12" t="s">
        <v>91</v>
      </c>
      <c r="L43" s="12" t="s">
        <v>66</v>
      </c>
      <c r="M43" s="14">
        <v>45918</v>
      </c>
      <c r="N43" s="14">
        <v>46260</v>
      </c>
      <c r="O43" s="12" t="s">
        <v>67</v>
      </c>
    </row>
    <row r="44" spans="1:15" x14ac:dyDescent="0.25">
      <c r="A44" s="12" t="s">
        <v>147</v>
      </c>
      <c r="B44" s="12" t="s">
        <v>141</v>
      </c>
      <c r="C44" s="12" t="s">
        <v>148</v>
      </c>
      <c r="D44" s="12">
        <v>2</v>
      </c>
      <c r="E44" s="12">
        <v>2</v>
      </c>
      <c r="F44" s="12">
        <v>4</v>
      </c>
      <c r="G44" s="13">
        <v>0.52</v>
      </c>
      <c r="H44" s="12">
        <v>1</v>
      </c>
      <c r="I44" s="12">
        <v>1</v>
      </c>
      <c r="J44" s="12">
        <v>1</v>
      </c>
      <c r="K44" s="12" t="s">
        <v>91</v>
      </c>
      <c r="L44" s="12" t="s">
        <v>66</v>
      </c>
      <c r="M44" s="14">
        <v>46019</v>
      </c>
      <c r="N44" s="14">
        <v>46309</v>
      </c>
      <c r="O44" s="12" t="s">
        <v>67</v>
      </c>
    </row>
    <row r="45" spans="1:15" x14ac:dyDescent="0.25">
      <c r="A45" s="12" t="s">
        <v>149</v>
      </c>
      <c r="B45" s="12" t="s">
        <v>122</v>
      </c>
      <c r="C45" s="12" t="s">
        <v>150</v>
      </c>
      <c r="D45" s="12">
        <v>1</v>
      </c>
      <c r="E45" s="12">
        <v>4</v>
      </c>
      <c r="F45" s="12">
        <v>4</v>
      </c>
      <c r="G45" s="13">
        <v>0.92</v>
      </c>
      <c r="H45" s="12">
        <v>1</v>
      </c>
      <c r="I45" s="12">
        <v>1</v>
      </c>
      <c r="J45" s="12">
        <v>1</v>
      </c>
      <c r="K45" s="12" t="s">
        <v>60</v>
      </c>
      <c r="L45" s="12" t="s">
        <v>61</v>
      </c>
      <c r="M45" s="14">
        <v>45923</v>
      </c>
      <c r="N45" s="14">
        <v>46394</v>
      </c>
      <c r="O45" s="12" t="s">
        <v>67</v>
      </c>
    </row>
    <row r="46" spans="1:15" x14ac:dyDescent="0.25">
      <c r="A46" s="12" t="s">
        <v>151</v>
      </c>
      <c r="B46" s="12" t="s">
        <v>141</v>
      </c>
      <c r="C46" s="12" t="s">
        <v>152</v>
      </c>
      <c r="D46" s="12">
        <v>5</v>
      </c>
      <c r="E46" s="12">
        <v>2</v>
      </c>
      <c r="F46" s="12">
        <v>10</v>
      </c>
      <c r="G46" s="13">
        <v>0.35</v>
      </c>
      <c r="H46" s="12">
        <v>3.2</v>
      </c>
      <c r="I46" s="12">
        <v>1.3</v>
      </c>
      <c r="J46" s="12">
        <v>4.2</v>
      </c>
      <c r="K46" s="12" t="s">
        <v>65</v>
      </c>
      <c r="L46" s="12" t="s">
        <v>61</v>
      </c>
      <c r="M46" s="14">
        <v>46176</v>
      </c>
      <c r="N46" s="14">
        <v>46459</v>
      </c>
      <c r="O46" s="12" t="s">
        <v>67</v>
      </c>
    </row>
    <row r="47" spans="1:15" x14ac:dyDescent="0.25">
      <c r="A47" s="12" t="s">
        <v>153</v>
      </c>
      <c r="B47" s="12" t="s">
        <v>122</v>
      </c>
      <c r="C47" s="12" t="s">
        <v>131</v>
      </c>
      <c r="D47" s="12">
        <v>4</v>
      </c>
      <c r="E47" s="12">
        <v>3</v>
      </c>
      <c r="F47" s="12">
        <v>12</v>
      </c>
      <c r="G47" s="13">
        <v>0.34</v>
      </c>
      <c r="H47" s="12">
        <v>2.6</v>
      </c>
      <c r="I47" s="12">
        <v>2</v>
      </c>
      <c r="J47" s="12">
        <v>5.2</v>
      </c>
      <c r="K47" s="12" t="s">
        <v>65</v>
      </c>
      <c r="L47" s="12" t="s">
        <v>74</v>
      </c>
      <c r="M47" s="14">
        <v>46230</v>
      </c>
      <c r="N47" s="14">
        <v>46388</v>
      </c>
      <c r="O47" s="12" t="s">
        <v>67</v>
      </c>
    </row>
    <row r="48" spans="1:15" x14ac:dyDescent="0.25">
      <c r="A48" s="12" t="s">
        <v>154</v>
      </c>
      <c r="B48" s="12" t="s">
        <v>107</v>
      </c>
      <c r="C48" s="12" t="s">
        <v>148</v>
      </c>
      <c r="D48" s="12">
        <v>5</v>
      </c>
      <c r="E48" s="12">
        <v>5</v>
      </c>
      <c r="F48" s="12">
        <v>25</v>
      </c>
      <c r="G48" s="13">
        <v>0.34</v>
      </c>
      <c r="H48" s="12">
        <v>3.3</v>
      </c>
      <c r="I48" s="12">
        <v>3.3</v>
      </c>
      <c r="J48" s="12">
        <v>10.9</v>
      </c>
      <c r="K48" s="12" t="s">
        <v>55</v>
      </c>
      <c r="L48" s="12" t="s">
        <v>84</v>
      </c>
      <c r="M48" s="14">
        <v>46176</v>
      </c>
      <c r="N48" s="14">
        <v>46370</v>
      </c>
      <c r="O48" s="12" t="s">
        <v>67</v>
      </c>
    </row>
    <row r="49" spans="1:15" x14ac:dyDescent="0.25">
      <c r="A49" s="12" t="s">
        <v>155</v>
      </c>
      <c r="B49" s="12" t="s">
        <v>76</v>
      </c>
      <c r="C49" s="12" t="s">
        <v>156</v>
      </c>
      <c r="D49" s="12">
        <v>5</v>
      </c>
      <c r="E49" s="12">
        <v>3</v>
      </c>
      <c r="F49" s="12">
        <v>15</v>
      </c>
      <c r="G49" s="13">
        <v>0.79</v>
      </c>
      <c r="H49" s="12">
        <v>1</v>
      </c>
      <c r="I49" s="12">
        <v>1</v>
      </c>
      <c r="J49" s="12">
        <v>1</v>
      </c>
      <c r="K49" s="12" t="s">
        <v>91</v>
      </c>
      <c r="L49" s="12" t="s">
        <v>84</v>
      </c>
      <c r="M49" s="14">
        <v>46221</v>
      </c>
      <c r="N49" s="14">
        <v>46535</v>
      </c>
      <c r="O49" s="12" t="s">
        <v>67</v>
      </c>
    </row>
    <row r="50" spans="1:15" x14ac:dyDescent="0.25">
      <c r="A50" s="12" t="s">
        <v>157</v>
      </c>
      <c r="B50" s="12" t="s">
        <v>53</v>
      </c>
      <c r="C50" s="12" t="s">
        <v>158</v>
      </c>
      <c r="D50" s="12">
        <v>2</v>
      </c>
      <c r="E50" s="12">
        <v>3</v>
      </c>
      <c r="F50" s="12">
        <v>6</v>
      </c>
      <c r="G50" s="13">
        <v>0.64</v>
      </c>
      <c r="H50" s="12">
        <v>1</v>
      </c>
      <c r="I50" s="12">
        <v>1.1000000000000001</v>
      </c>
      <c r="J50" s="12">
        <v>1.1000000000000001</v>
      </c>
      <c r="K50" s="12" t="s">
        <v>159</v>
      </c>
      <c r="L50" s="12" t="s">
        <v>74</v>
      </c>
      <c r="M50" s="14">
        <v>46157</v>
      </c>
      <c r="N50" s="14">
        <v>46308</v>
      </c>
      <c r="O50" s="12" t="s">
        <v>67</v>
      </c>
    </row>
    <row r="51" spans="1:15" x14ac:dyDescent="0.25">
      <c r="A51" s="12" t="s">
        <v>160</v>
      </c>
      <c r="B51" s="12" t="s">
        <v>82</v>
      </c>
      <c r="C51" s="12" t="s">
        <v>161</v>
      </c>
      <c r="D51" s="12">
        <v>2</v>
      </c>
      <c r="E51" s="12">
        <v>3</v>
      </c>
      <c r="F51" s="12">
        <v>6</v>
      </c>
      <c r="G51" s="13">
        <v>0.54</v>
      </c>
      <c r="H51" s="12">
        <v>1</v>
      </c>
      <c r="I51" s="12">
        <v>1.4</v>
      </c>
      <c r="J51" s="12">
        <v>1.4</v>
      </c>
      <c r="K51" s="12" t="s">
        <v>55</v>
      </c>
      <c r="L51" s="12" t="s">
        <v>66</v>
      </c>
      <c r="M51" s="14">
        <v>46032</v>
      </c>
      <c r="N51" s="14">
        <v>46308</v>
      </c>
      <c r="O51" s="12" t="s">
        <v>67</v>
      </c>
    </row>
    <row r="52" spans="1:15" x14ac:dyDescent="0.25">
      <c r="A52" s="12" t="s">
        <v>162</v>
      </c>
      <c r="B52" s="12" t="s">
        <v>63</v>
      </c>
      <c r="C52" s="12" t="s">
        <v>102</v>
      </c>
      <c r="D52" s="12">
        <v>5</v>
      </c>
      <c r="E52" s="12">
        <v>5</v>
      </c>
      <c r="F52" s="12">
        <v>25</v>
      </c>
      <c r="G52" s="13">
        <v>0.53</v>
      </c>
      <c r="H52" s="12">
        <v>2.4</v>
      </c>
      <c r="I52" s="12">
        <v>2.4</v>
      </c>
      <c r="J52" s="12">
        <v>5.8</v>
      </c>
      <c r="K52" s="12" t="s">
        <v>60</v>
      </c>
      <c r="L52" s="12" t="s">
        <v>74</v>
      </c>
      <c r="M52" s="14">
        <v>46137</v>
      </c>
      <c r="N52" s="14">
        <v>46296</v>
      </c>
      <c r="O52" s="12" t="s">
        <v>67</v>
      </c>
    </row>
    <row r="53" spans="1:15" x14ac:dyDescent="0.25">
      <c r="A53" s="12" t="s">
        <v>163</v>
      </c>
      <c r="B53" s="12" t="s">
        <v>69</v>
      </c>
      <c r="C53" s="12" t="s">
        <v>97</v>
      </c>
      <c r="D53" s="12">
        <v>2</v>
      </c>
      <c r="E53" s="12">
        <v>4</v>
      </c>
      <c r="F53" s="12">
        <v>8</v>
      </c>
      <c r="G53" s="13">
        <v>0.28000000000000003</v>
      </c>
      <c r="H53" s="12">
        <v>1.4</v>
      </c>
      <c r="I53" s="12">
        <v>2.9</v>
      </c>
      <c r="J53" s="12">
        <v>4.0999999999999996</v>
      </c>
      <c r="K53" s="12" t="s">
        <v>91</v>
      </c>
      <c r="L53" s="12" t="s">
        <v>84</v>
      </c>
      <c r="M53" s="14">
        <v>46086</v>
      </c>
      <c r="N53" s="14">
        <v>46437</v>
      </c>
      <c r="O53" s="12" t="s">
        <v>67</v>
      </c>
    </row>
    <row r="54" spans="1:15" x14ac:dyDescent="0.25">
      <c r="A54" s="12" t="s">
        <v>164</v>
      </c>
      <c r="B54" s="12" t="s">
        <v>82</v>
      </c>
      <c r="C54" s="12" t="s">
        <v>118</v>
      </c>
      <c r="D54" s="12">
        <v>5</v>
      </c>
      <c r="E54" s="12">
        <v>2</v>
      </c>
      <c r="F54" s="12">
        <v>10</v>
      </c>
      <c r="G54" s="13">
        <v>0.5</v>
      </c>
      <c r="H54" s="12">
        <v>2.5</v>
      </c>
      <c r="I54" s="12">
        <v>1</v>
      </c>
      <c r="J54" s="12">
        <v>2.5</v>
      </c>
      <c r="K54" s="12" t="s">
        <v>112</v>
      </c>
      <c r="L54" s="12" t="s">
        <v>66</v>
      </c>
      <c r="M54" s="14">
        <v>46082</v>
      </c>
      <c r="N54" s="14">
        <v>46497</v>
      </c>
      <c r="O54" s="12" t="s">
        <v>67</v>
      </c>
    </row>
    <row r="55" spans="1:15" x14ac:dyDescent="0.25">
      <c r="A55" s="12" t="s">
        <v>165</v>
      </c>
      <c r="B55" s="12" t="s">
        <v>69</v>
      </c>
      <c r="C55" s="12" t="s">
        <v>80</v>
      </c>
      <c r="D55" s="12">
        <v>5</v>
      </c>
      <c r="E55" s="12">
        <v>4</v>
      </c>
      <c r="F55" s="12">
        <v>20</v>
      </c>
      <c r="G55" s="13">
        <v>0.61</v>
      </c>
      <c r="H55" s="12">
        <v>2</v>
      </c>
      <c r="I55" s="12">
        <v>1.6</v>
      </c>
      <c r="J55" s="12">
        <v>3.2</v>
      </c>
      <c r="K55" s="12" t="s">
        <v>159</v>
      </c>
      <c r="L55" s="12" t="s">
        <v>61</v>
      </c>
      <c r="M55" s="14">
        <v>45958</v>
      </c>
      <c r="N55" s="14">
        <v>46399</v>
      </c>
      <c r="O55" s="12" t="s">
        <v>67</v>
      </c>
    </row>
    <row r="56" spans="1:15" x14ac:dyDescent="0.25">
      <c r="A56" s="12" t="s">
        <v>166</v>
      </c>
      <c r="B56" s="12" t="s">
        <v>63</v>
      </c>
      <c r="C56" s="12" t="s">
        <v>118</v>
      </c>
      <c r="D56" s="12">
        <v>4</v>
      </c>
      <c r="E56" s="12">
        <v>5</v>
      </c>
      <c r="F56" s="12">
        <v>20</v>
      </c>
      <c r="G56" s="13">
        <v>0.42</v>
      </c>
      <c r="H56" s="12">
        <v>2.2999999999999998</v>
      </c>
      <c r="I56" s="12">
        <v>2.9</v>
      </c>
      <c r="J56" s="12">
        <v>6.7</v>
      </c>
      <c r="K56" s="12" t="s">
        <v>55</v>
      </c>
      <c r="L56" s="12" t="s">
        <v>61</v>
      </c>
      <c r="M56" s="14">
        <v>46124</v>
      </c>
      <c r="N56" s="14">
        <v>46592</v>
      </c>
      <c r="O56" s="12" t="s">
        <v>67</v>
      </c>
    </row>
    <row r="57" spans="1:15" x14ac:dyDescent="0.25">
      <c r="A57" s="12" t="s">
        <v>167</v>
      </c>
      <c r="B57" s="12" t="s">
        <v>53</v>
      </c>
      <c r="C57" s="12" t="s">
        <v>168</v>
      </c>
      <c r="D57" s="12">
        <v>4</v>
      </c>
      <c r="E57" s="12">
        <v>2</v>
      </c>
      <c r="F57" s="12">
        <v>8</v>
      </c>
      <c r="G57" s="13">
        <v>0.61</v>
      </c>
      <c r="H57" s="12">
        <v>1.6</v>
      </c>
      <c r="I57" s="12">
        <v>1</v>
      </c>
      <c r="J57" s="12">
        <v>1.6</v>
      </c>
      <c r="K57" s="12" t="s">
        <v>112</v>
      </c>
      <c r="L57" s="12" t="s">
        <v>56</v>
      </c>
      <c r="M57" s="14">
        <v>46197</v>
      </c>
      <c r="N57" s="14">
        <v>46430</v>
      </c>
      <c r="O57" s="12" t="s">
        <v>67</v>
      </c>
    </row>
    <row r="58" spans="1:15" x14ac:dyDescent="0.25">
      <c r="A58" s="12" t="s">
        <v>169</v>
      </c>
      <c r="B58" s="12" t="s">
        <v>141</v>
      </c>
      <c r="C58" s="12" t="s">
        <v>123</v>
      </c>
      <c r="D58" s="12">
        <v>3</v>
      </c>
      <c r="E58" s="12">
        <v>4</v>
      </c>
      <c r="F58" s="12">
        <v>12</v>
      </c>
      <c r="G58" s="13">
        <v>0.6</v>
      </c>
      <c r="H58" s="12">
        <v>1.2</v>
      </c>
      <c r="I58" s="12">
        <v>1.6</v>
      </c>
      <c r="J58" s="12">
        <v>1.9</v>
      </c>
      <c r="K58" s="12" t="s">
        <v>60</v>
      </c>
      <c r="L58" s="12" t="s">
        <v>66</v>
      </c>
      <c r="M58" s="14">
        <v>45872</v>
      </c>
      <c r="N58" s="14">
        <v>46448</v>
      </c>
      <c r="O58" s="12" t="s">
        <v>67</v>
      </c>
    </row>
    <row r="59" spans="1:15" x14ac:dyDescent="0.25">
      <c r="A59" s="12" t="s">
        <v>170</v>
      </c>
      <c r="B59" s="12" t="s">
        <v>89</v>
      </c>
      <c r="C59" s="12" t="s">
        <v>171</v>
      </c>
      <c r="D59" s="12">
        <v>1</v>
      </c>
      <c r="E59" s="12">
        <v>1</v>
      </c>
      <c r="F59" s="12">
        <v>1</v>
      </c>
      <c r="G59" s="13">
        <v>0.42</v>
      </c>
      <c r="H59" s="12">
        <v>1</v>
      </c>
      <c r="I59" s="12">
        <v>1</v>
      </c>
      <c r="J59" s="12">
        <v>1</v>
      </c>
      <c r="K59" s="12" t="s">
        <v>98</v>
      </c>
      <c r="L59" s="12" t="s">
        <v>84</v>
      </c>
      <c r="M59" s="14">
        <v>46078</v>
      </c>
      <c r="N59" s="14">
        <v>46433</v>
      </c>
      <c r="O59" s="12" t="s">
        <v>67</v>
      </c>
    </row>
    <row r="60" spans="1:15" x14ac:dyDescent="0.25">
      <c r="A60" s="12" t="s">
        <v>172</v>
      </c>
      <c r="B60" s="12" t="s">
        <v>89</v>
      </c>
      <c r="C60" s="12" t="s">
        <v>158</v>
      </c>
      <c r="D60" s="12">
        <v>1</v>
      </c>
      <c r="E60" s="12">
        <v>3</v>
      </c>
      <c r="F60" s="12">
        <v>3</v>
      </c>
      <c r="G60" s="13">
        <v>0.24</v>
      </c>
      <c r="H60" s="12">
        <v>1</v>
      </c>
      <c r="I60" s="12">
        <v>2.2999999999999998</v>
      </c>
      <c r="J60" s="12">
        <v>2.2999999999999998</v>
      </c>
      <c r="K60" s="12" t="s">
        <v>73</v>
      </c>
      <c r="L60" s="12" t="s">
        <v>61</v>
      </c>
      <c r="M60" s="14">
        <v>46043</v>
      </c>
      <c r="N60" s="14">
        <v>46450</v>
      </c>
      <c r="O60" s="12" t="s">
        <v>67</v>
      </c>
    </row>
    <row r="61" spans="1:15" x14ac:dyDescent="0.25">
      <c r="A61" s="12" t="s">
        <v>173</v>
      </c>
      <c r="B61" s="12" t="s">
        <v>82</v>
      </c>
      <c r="C61" s="12" t="s">
        <v>87</v>
      </c>
      <c r="D61" s="12">
        <v>4</v>
      </c>
      <c r="E61" s="12">
        <v>3</v>
      </c>
      <c r="F61" s="12">
        <v>12</v>
      </c>
      <c r="G61" s="13">
        <v>0.54</v>
      </c>
      <c r="H61" s="12">
        <v>1.8</v>
      </c>
      <c r="I61" s="12">
        <v>1.4</v>
      </c>
      <c r="J61" s="12">
        <v>2.5</v>
      </c>
      <c r="K61" s="12" t="s">
        <v>98</v>
      </c>
      <c r="L61" s="12" t="s">
        <v>56</v>
      </c>
      <c r="M61" s="14">
        <v>46210</v>
      </c>
      <c r="N61" s="14">
        <v>46321</v>
      </c>
      <c r="O61" s="12" t="s">
        <v>67</v>
      </c>
    </row>
    <row r="62" spans="1:15" x14ac:dyDescent="0.25">
      <c r="A62" s="12" t="s">
        <v>174</v>
      </c>
      <c r="B62" s="12" t="s">
        <v>53</v>
      </c>
      <c r="C62" s="12" t="s">
        <v>175</v>
      </c>
      <c r="D62" s="12">
        <v>2</v>
      </c>
      <c r="E62" s="12">
        <v>4</v>
      </c>
      <c r="F62" s="12">
        <v>8</v>
      </c>
      <c r="G62" s="13">
        <v>0.84</v>
      </c>
      <c r="H62" s="12">
        <v>1</v>
      </c>
      <c r="I62" s="12">
        <v>1</v>
      </c>
      <c r="J62" s="12">
        <v>1</v>
      </c>
      <c r="K62" s="12" t="s">
        <v>125</v>
      </c>
      <c r="L62" s="12" t="s">
        <v>84</v>
      </c>
      <c r="M62" s="14">
        <v>46055</v>
      </c>
      <c r="N62" s="14">
        <v>46308</v>
      </c>
      <c r="O62" s="12" t="s">
        <v>67</v>
      </c>
    </row>
    <row r="63" spans="1:15" x14ac:dyDescent="0.25">
      <c r="A63" s="12" t="s">
        <v>176</v>
      </c>
      <c r="B63" s="12" t="s">
        <v>69</v>
      </c>
      <c r="C63" s="12" t="s">
        <v>87</v>
      </c>
      <c r="D63" s="12">
        <v>5</v>
      </c>
      <c r="E63" s="12">
        <v>4</v>
      </c>
      <c r="F63" s="12">
        <v>20</v>
      </c>
      <c r="G63" s="13">
        <v>0.21</v>
      </c>
      <c r="H63" s="12">
        <v>4</v>
      </c>
      <c r="I63" s="12">
        <v>3.2</v>
      </c>
      <c r="J63" s="12">
        <v>12.8</v>
      </c>
      <c r="K63" s="12" t="s">
        <v>60</v>
      </c>
      <c r="L63" s="12" t="s">
        <v>56</v>
      </c>
      <c r="M63" s="14">
        <v>46228</v>
      </c>
      <c r="N63" s="14">
        <v>46581</v>
      </c>
      <c r="O63" s="12" t="s">
        <v>67</v>
      </c>
    </row>
    <row r="64" spans="1:15" x14ac:dyDescent="0.25">
      <c r="A64" s="12" t="s">
        <v>177</v>
      </c>
      <c r="B64" s="12" t="s">
        <v>122</v>
      </c>
      <c r="C64" s="12" t="s">
        <v>118</v>
      </c>
      <c r="D64" s="12">
        <v>3</v>
      </c>
      <c r="E64" s="12">
        <v>5</v>
      </c>
      <c r="F64" s="12">
        <v>15</v>
      </c>
      <c r="G64" s="13">
        <v>0.23</v>
      </c>
      <c r="H64" s="12">
        <v>2.2999999999999998</v>
      </c>
      <c r="I64" s="12">
        <v>3.8</v>
      </c>
      <c r="J64" s="12">
        <v>8.6999999999999993</v>
      </c>
      <c r="K64" s="12" t="s">
        <v>159</v>
      </c>
      <c r="L64" s="12" t="s">
        <v>84</v>
      </c>
      <c r="M64" s="14">
        <v>46117</v>
      </c>
      <c r="N64" s="14">
        <v>46383</v>
      </c>
      <c r="O64" s="12" t="s">
        <v>67</v>
      </c>
    </row>
    <row r="65" spans="1:15" x14ac:dyDescent="0.25">
      <c r="A65" s="12" t="s">
        <v>178</v>
      </c>
      <c r="B65" s="12" t="s">
        <v>89</v>
      </c>
      <c r="C65" s="12" t="s">
        <v>179</v>
      </c>
      <c r="D65" s="12">
        <v>3</v>
      </c>
      <c r="E65" s="12">
        <v>2</v>
      </c>
      <c r="F65" s="12">
        <v>6</v>
      </c>
      <c r="G65" s="13">
        <v>0.26</v>
      </c>
      <c r="H65" s="12">
        <v>2.2000000000000002</v>
      </c>
      <c r="I65" s="12">
        <v>1.5</v>
      </c>
      <c r="J65" s="12">
        <v>3.3</v>
      </c>
      <c r="K65" s="12" t="s">
        <v>159</v>
      </c>
      <c r="L65" s="12" t="s">
        <v>66</v>
      </c>
      <c r="M65" s="14">
        <v>45953</v>
      </c>
      <c r="N65" s="14">
        <v>46444</v>
      </c>
      <c r="O65" s="12" t="s">
        <v>67</v>
      </c>
    </row>
    <row r="66" spans="1:15" x14ac:dyDescent="0.25">
      <c r="A66" s="12" t="s">
        <v>180</v>
      </c>
      <c r="B66" s="12" t="s">
        <v>69</v>
      </c>
      <c r="C66" s="12" t="s">
        <v>136</v>
      </c>
      <c r="D66" s="12">
        <v>3</v>
      </c>
      <c r="E66" s="12">
        <v>4</v>
      </c>
      <c r="F66" s="12">
        <v>12</v>
      </c>
      <c r="G66" s="13">
        <v>0.78</v>
      </c>
      <c r="H66" s="12">
        <v>1</v>
      </c>
      <c r="I66" s="12">
        <v>1</v>
      </c>
      <c r="J66" s="12">
        <v>1</v>
      </c>
      <c r="K66" s="12" t="s">
        <v>125</v>
      </c>
      <c r="L66" s="12" t="s">
        <v>56</v>
      </c>
      <c r="M66" s="14">
        <v>46161</v>
      </c>
      <c r="N66" s="14">
        <v>46515</v>
      </c>
      <c r="O66" s="12" t="s">
        <v>67</v>
      </c>
    </row>
    <row r="67" spans="1:15" x14ac:dyDescent="0.25">
      <c r="A67" s="12" t="s">
        <v>181</v>
      </c>
      <c r="B67" s="12" t="s">
        <v>122</v>
      </c>
      <c r="C67" s="12" t="s">
        <v>182</v>
      </c>
      <c r="D67" s="12">
        <v>5</v>
      </c>
      <c r="E67" s="12">
        <v>5</v>
      </c>
      <c r="F67" s="12">
        <v>25</v>
      </c>
      <c r="G67" s="13">
        <v>0.37</v>
      </c>
      <c r="H67" s="12">
        <v>3.2</v>
      </c>
      <c r="I67" s="12">
        <v>3.2</v>
      </c>
      <c r="J67" s="12">
        <v>10.199999999999999</v>
      </c>
      <c r="K67" s="12" t="s">
        <v>91</v>
      </c>
      <c r="L67" s="12" t="s">
        <v>84</v>
      </c>
      <c r="M67" s="14">
        <v>45894</v>
      </c>
      <c r="N67" s="14">
        <v>46326</v>
      </c>
      <c r="O67" s="12" t="s">
        <v>67</v>
      </c>
    </row>
    <row r="68" spans="1:15" x14ac:dyDescent="0.25">
      <c r="A68" s="12" t="s">
        <v>183</v>
      </c>
      <c r="B68" s="12" t="s">
        <v>107</v>
      </c>
      <c r="C68" s="12" t="s">
        <v>145</v>
      </c>
      <c r="D68" s="12">
        <v>4</v>
      </c>
      <c r="E68" s="12">
        <v>4</v>
      </c>
      <c r="F68" s="12">
        <v>16</v>
      </c>
      <c r="G68" s="13">
        <v>0.81</v>
      </c>
      <c r="H68" s="12">
        <v>1</v>
      </c>
      <c r="I68" s="12">
        <v>1</v>
      </c>
      <c r="J68" s="12">
        <v>1</v>
      </c>
      <c r="K68" s="12" t="s">
        <v>112</v>
      </c>
      <c r="L68" s="12" t="s">
        <v>61</v>
      </c>
      <c r="M68" s="14">
        <v>45969</v>
      </c>
      <c r="N68" s="14">
        <v>46560</v>
      </c>
      <c r="O68" s="12" t="s">
        <v>67</v>
      </c>
    </row>
    <row r="69" spans="1:15" x14ac:dyDescent="0.25">
      <c r="A69" s="12" t="s">
        <v>184</v>
      </c>
      <c r="B69" s="12" t="s">
        <v>107</v>
      </c>
      <c r="C69" s="12" t="s">
        <v>129</v>
      </c>
      <c r="D69" s="12">
        <v>3</v>
      </c>
      <c r="E69" s="12">
        <v>2</v>
      </c>
      <c r="F69" s="12">
        <v>6</v>
      </c>
      <c r="G69" s="13">
        <v>0.36</v>
      </c>
      <c r="H69" s="12">
        <v>1.9</v>
      </c>
      <c r="I69" s="12">
        <v>1.3</v>
      </c>
      <c r="J69" s="12">
        <v>2.5</v>
      </c>
      <c r="K69" s="12" t="s">
        <v>73</v>
      </c>
      <c r="L69" s="12" t="s">
        <v>66</v>
      </c>
      <c r="M69" s="14">
        <v>46181</v>
      </c>
      <c r="N69" s="14">
        <v>46255</v>
      </c>
      <c r="O69" s="12" t="s">
        <v>67</v>
      </c>
    </row>
    <row r="70" spans="1:15" x14ac:dyDescent="0.25">
      <c r="A70" s="12" t="s">
        <v>185</v>
      </c>
      <c r="B70" s="12" t="s">
        <v>69</v>
      </c>
      <c r="C70" s="12" t="s">
        <v>186</v>
      </c>
      <c r="D70" s="12">
        <v>4</v>
      </c>
      <c r="E70" s="12">
        <v>3</v>
      </c>
      <c r="F70" s="12">
        <v>12</v>
      </c>
      <c r="G70" s="13">
        <v>0.35</v>
      </c>
      <c r="H70" s="12">
        <v>2.6</v>
      </c>
      <c r="I70" s="12">
        <v>2</v>
      </c>
      <c r="J70" s="12">
        <v>5.2</v>
      </c>
      <c r="K70" s="12" t="s">
        <v>60</v>
      </c>
      <c r="L70" s="12" t="s">
        <v>66</v>
      </c>
      <c r="M70" s="14">
        <v>45951</v>
      </c>
      <c r="N70" s="14">
        <v>46371</v>
      </c>
      <c r="O70" s="12" t="s">
        <v>67</v>
      </c>
    </row>
    <row r="71" spans="1:15" x14ac:dyDescent="0.25">
      <c r="A71" s="12" t="s">
        <v>187</v>
      </c>
      <c r="B71" s="12" t="s">
        <v>141</v>
      </c>
      <c r="C71" s="12" t="s">
        <v>100</v>
      </c>
      <c r="D71" s="12">
        <v>4</v>
      </c>
      <c r="E71" s="12">
        <v>1</v>
      </c>
      <c r="F71" s="12">
        <v>4</v>
      </c>
      <c r="G71" s="13">
        <v>0.72</v>
      </c>
      <c r="H71" s="12">
        <v>1.1000000000000001</v>
      </c>
      <c r="I71" s="12">
        <v>1</v>
      </c>
      <c r="J71" s="12">
        <v>1.1000000000000001</v>
      </c>
      <c r="K71" s="12" t="s">
        <v>78</v>
      </c>
      <c r="L71" s="12" t="s">
        <v>74</v>
      </c>
      <c r="M71" s="14">
        <v>46189</v>
      </c>
      <c r="N71" s="14">
        <v>46388</v>
      </c>
      <c r="O71" s="12" t="s">
        <v>67</v>
      </c>
    </row>
    <row r="72" spans="1:15" x14ac:dyDescent="0.25">
      <c r="A72" s="12" t="s">
        <v>188</v>
      </c>
      <c r="B72" s="12" t="s">
        <v>53</v>
      </c>
      <c r="C72" s="12" t="s">
        <v>129</v>
      </c>
      <c r="D72" s="12">
        <v>3</v>
      </c>
      <c r="E72" s="12">
        <v>4</v>
      </c>
      <c r="F72" s="12">
        <v>12</v>
      </c>
      <c r="G72" s="13">
        <v>0.55000000000000004</v>
      </c>
      <c r="H72" s="12">
        <v>1.4</v>
      </c>
      <c r="I72" s="12">
        <v>1.8</v>
      </c>
      <c r="J72" s="12">
        <v>2.5</v>
      </c>
      <c r="K72" s="12" t="s">
        <v>159</v>
      </c>
      <c r="L72" s="12" t="s">
        <v>56</v>
      </c>
      <c r="M72" s="14">
        <v>46168</v>
      </c>
      <c r="N72" s="14">
        <v>46334</v>
      </c>
      <c r="O72" s="12" t="s">
        <v>67</v>
      </c>
    </row>
    <row r="73" spans="1:15" x14ac:dyDescent="0.25">
      <c r="A73" s="12" t="s">
        <v>189</v>
      </c>
      <c r="B73" s="12" t="s">
        <v>122</v>
      </c>
      <c r="C73" s="12" t="s">
        <v>156</v>
      </c>
      <c r="D73" s="12">
        <v>2</v>
      </c>
      <c r="E73" s="12">
        <v>4</v>
      </c>
      <c r="F73" s="12">
        <v>8</v>
      </c>
      <c r="G73" s="13">
        <v>0.44</v>
      </c>
      <c r="H73" s="12">
        <v>1.1000000000000001</v>
      </c>
      <c r="I73" s="12">
        <v>2.2000000000000002</v>
      </c>
      <c r="J73" s="12">
        <v>2.4</v>
      </c>
      <c r="K73" s="12" t="s">
        <v>78</v>
      </c>
      <c r="L73" s="12" t="s">
        <v>74</v>
      </c>
      <c r="M73" s="14">
        <v>45941</v>
      </c>
      <c r="N73" s="14">
        <v>46296</v>
      </c>
      <c r="O73" s="12" t="s">
        <v>67</v>
      </c>
    </row>
    <row r="74" spans="1:15" x14ac:dyDescent="0.25">
      <c r="A74" s="12" t="s">
        <v>190</v>
      </c>
      <c r="B74" s="12" t="s">
        <v>82</v>
      </c>
      <c r="C74" s="12" t="s">
        <v>123</v>
      </c>
      <c r="D74" s="12">
        <v>3</v>
      </c>
      <c r="E74" s="12">
        <v>3</v>
      </c>
      <c r="F74" s="12">
        <v>9</v>
      </c>
      <c r="G74" s="13">
        <v>0.68</v>
      </c>
      <c r="H74" s="12">
        <v>1</v>
      </c>
      <c r="I74" s="12">
        <v>1</v>
      </c>
      <c r="J74" s="12">
        <v>1</v>
      </c>
      <c r="K74" s="12" t="s">
        <v>78</v>
      </c>
      <c r="L74" s="12" t="s">
        <v>84</v>
      </c>
      <c r="M74" s="14">
        <v>46182</v>
      </c>
      <c r="N74" s="14">
        <v>46352</v>
      </c>
      <c r="O74" s="12" t="s">
        <v>67</v>
      </c>
    </row>
    <row r="75" spans="1:15" x14ac:dyDescent="0.25">
      <c r="A75" s="12" t="s">
        <v>191</v>
      </c>
      <c r="B75" s="12" t="s">
        <v>53</v>
      </c>
      <c r="C75" s="12" t="s">
        <v>83</v>
      </c>
      <c r="D75" s="12">
        <v>5</v>
      </c>
      <c r="E75" s="12">
        <v>5</v>
      </c>
      <c r="F75" s="12">
        <v>25</v>
      </c>
      <c r="G75" s="13">
        <v>0.64</v>
      </c>
      <c r="H75" s="12">
        <v>1.8</v>
      </c>
      <c r="I75" s="12">
        <v>1.8</v>
      </c>
      <c r="J75" s="12">
        <v>3.2</v>
      </c>
      <c r="K75" s="12" t="s">
        <v>98</v>
      </c>
      <c r="L75" s="12" t="s">
        <v>56</v>
      </c>
      <c r="M75" s="14">
        <v>45902</v>
      </c>
      <c r="N75" s="14">
        <v>46349</v>
      </c>
      <c r="O75" s="12" t="s">
        <v>67</v>
      </c>
    </row>
    <row r="76" spans="1:15" x14ac:dyDescent="0.25">
      <c r="A76" s="12" t="s">
        <v>192</v>
      </c>
      <c r="B76" s="12" t="s">
        <v>69</v>
      </c>
      <c r="C76" s="12" t="s">
        <v>168</v>
      </c>
      <c r="D76" s="12">
        <v>4</v>
      </c>
      <c r="E76" s="12">
        <v>4</v>
      </c>
      <c r="F76" s="12">
        <v>16</v>
      </c>
      <c r="G76" s="13">
        <v>0.75</v>
      </c>
      <c r="H76" s="12">
        <v>1</v>
      </c>
      <c r="I76" s="12">
        <v>1</v>
      </c>
      <c r="J76" s="12">
        <v>1</v>
      </c>
      <c r="K76" s="12" t="s">
        <v>91</v>
      </c>
      <c r="L76" s="12" t="s">
        <v>56</v>
      </c>
      <c r="M76" s="14">
        <v>46031</v>
      </c>
      <c r="N76" s="14">
        <v>46418</v>
      </c>
      <c r="O76" s="12" t="s">
        <v>67</v>
      </c>
    </row>
    <row r="77" spans="1:15" x14ac:dyDescent="0.25">
      <c r="A77" s="12" t="s">
        <v>193</v>
      </c>
      <c r="B77" s="12" t="s">
        <v>89</v>
      </c>
      <c r="C77" s="12" t="s">
        <v>118</v>
      </c>
      <c r="D77" s="12">
        <v>3</v>
      </c>
      <c r="E77" s="12">
        <v>2</v>
      </c>
      <c r="F77" s="12">
        <v>6</v>
      </c>
      <c r="G77" s="13">
        <v>0.98</v>
      </c>
      <c r="H77" s="12">
        <v>1</v>
      </c>
      <c r="I77" s="12">
        <v>1</v>
      </c>
      <c r="J77" s="12">
        <v>1</v>
      </c>
      <c r="K77" s="12" t="s">
        <v>159</v>
      </c>
      <c r="L77" s="12" t="s">
        <v>66</v>
      </c>
      <c r="M77" s="14">
        <v>46062</v>
      </c>
      <c r="N77" s="14">
        <v>46244</v>
      </c>
      <c r="O77" s="12" t="s">
        <v>67</v>
      </c>
    </row>
    <row r="78" spans="1:15" x14ac:dyDescent="0.25">
      <c r="A78" s="12" t="s">
        <v>194</v>
      </c>
      <c r="B78" s="12" t="s">
        <v>82</v>
      </c>
      <c r="C78" s="12" t="s">
        <v>195</v>
      </c>
      <c r="D78" s="12">
        <v>4</v>
      </c>
      <c r="E78" s="12">
        <v>1</v>
      </c>
      <c r="F78" s="12">
        <v>4</v>
      </c>
      <c r="G78" s="13">
        <v>0.36</v>
      </c>
      <c r="H78" s="12">
        <v>2.6</v>
      </c>
      <c r="I78" s="12">
        <v>1</v>
      </c>
      <c r="J78" s="12">
        <v>2.6</v>
      </c>
      <c r="K78" s="12" t="s">
        <v>55</v>
      </c>
      <c r="L78" s="12" t="s">
        <v>61</v>
      </c>
      <c r="M78" s="14">
        <v>46007</v>
      </c>
      <c r="N78" s="14">
        <v>46489</v>
      </c>
      <c r="O78" s="12" t="s">
        <v>67</v>
      </c>
    </row>
    <row r="79" spans="1:15" x14ac:dyDescent="0.25">
      <c r="A79" s="12" t="s">
        <v>196</v>
      </c>
      <c r="B79" s="12" t="s">
        <v>141</v>
      </c>
      <c r="C79" s="12" t="s">
        <v>116</v>
      </c>
      <c r="D79" s="12">
        <v>2</v>
      </c>
      <c r="E79" s="12">
        <v>4</v>
      </c>
      <c r="F79" s="12">
        <v>8</v>
      </c>
      <c r="G79" s="13">
        <v>0.37</v>
      </c>
      <c r="H79" s="12">
        <v>1.3</v>
      </c>
      <c r="I79" s="12">
        <v>2.5</v>
      </c>
      <c r="J79" s="12">
        <v>3.2</v>
      </c>
      <c r="K79" s="12" t="s">
        <v>112</v>
      </c>
      <c r="L79" s="12" t="s">
        <v>84</v>
      </c>
      <c r="M79" s="14">
        <v>46216</v>
      </c>
      <c r="N79" s="14">
        <v>46400</v>
      </c>
      <c r="O79" s="12" t="s">
        <v>67</v>
      </c>
    </row>
    <row r="80" spans="1:15" x14ac:dyDescent="0.25">
      <c r="A80" s="12" t="s">
        <v>197</v>
      </c>
      <c r="B80" s="12" t="s">
        <v>53</v>
      </c>
      <c r="C80" s="12" t="s">
        <v>148</v>
      </c>
      <c r="D80" s="12">
        <v>5</v>
      </c>
      <c r="E80" s="12">
        <v>2</v>
      </c>
      <c r="F80" s="12">
        <v>10</v>
      </c>
      <c r="G80" s="13">
        <v>0.56999999999999995</v>
      </c>
      <c r="H80" s="12">
        <v>2.2000000000000002</v>
      </c>
      <c r="I80" s="12">
        <v>1</v>
      </c>
      <c r="J80" s="12">
        <v>2.2000000000000002</v>
      </c>
      <c r="K80" s="12" t="s">
        <v>112</v>
      </c>
      <c r="L80" s="12" t="s">
        <v>74</v>
      </c>
      <c r="M80" s="14">
        <v>46082</v>
      </c>
      <c r="N80" s="14">
        <v>46401</v>
      </c>
      <c r="O80" s="12" t="s">
        <v>67</v>
      </c>
    </row>
    <row r="81" spans="1:15" x14ac:dyDescent="0.25">
      <c r="A81" s="12" t="s">
        <v>198</v>
      </c>
      <c r="B81" s="12" t="s">
        <v>82</v>
      </c>
      <c r="C81" s="12" t="s">
        <v>182</v>
      </c>
      <c r="D81" s="12">
        <v>5</v>
      </c>
      <c r="E81" s="12">
        <v>3</v>
      </c>
      <c r="F81" s="12">
        <v>15</v>
      </c>
      <c r="G81" s="13">
        <v>0.63</v>
      </c>
      <c r="H81" s="12">
        <v>1.8</v>
      </c>
      <c r="I81" s="12">
        <v>1.1000000000000001</v>
      </c>
      <c r="J81" s="12">
        <v>2</v>
      </c>
      <c r="K81" s="12" t="s">
        <v>55</v>
      </c>
      <c r="L81" s="12" t="s">
        <v>56</v>
      </c>
      <c r="M81" s="14">
        <v>45972</v>
      </c>
      <c r="N81" s="14">
        <v>46327</v>
      </c>
      <c r="O81" s="12" t="s">
        <v>67</v>
      </c>
    </row>
    <row r="82" spans="1:15" x14ac:dyDescent="0.25">
      <c r="A82" s="12" t="s">
        <v>199</v>
      </c>
      <c r="B82" s="12" t="s">
        <v>122</v>
      </c>
      <c r="C82" s="12" t="s">
        <v>70</v>
      </c>
      <c r="D82" s="12">
        <v>5</v>
      </c>
      <c r="E82" s="12">
        <v>2</v>
      </c>
      <c r="F82" s="12">
        <v>10</v>
      </c>
      <c r="G82" s="13">
        <v>0.72</v>
      </c>
      <c r="H82" s="12">
        <v>1.4</v>
      </c>
      <c r="I82" s="12">
        <v>1</v>
      </c>
      <c r="J82" s="12">
        <v>1.4</v>
      </c>
      <c r="K82" s="12" t="s">
        <v>78</v>
      </c>
      <c r="L82" s="12" t="s">
        <v>61</v>
      </c>
      <c r="M82" s="14">
        <v>46112</v>
      </c>
      <c r="N82" s="14">
        <v>46311</v>
      </c>
      <c r="O82" s="12" t="s">
        <v>67</v>
      </c>
    </row>
    <row r="83" spans="1:15" x14ac:dyDescent="0.25">
      <c r="A83" s="12" t="s">
        <v>200</v>
      </c>
      <c r="B83" s="12" t="s">
        <v>107</v>
      </c>
      <c r="C83" s="12" t="s">
        <v>116</v>
      </c>
      <c r="D83" s="12">
        <v>4</v>
      </c>
      <c r="E83" s="12">
        <v>2</v>
      </c>
      <c r="F83" s="12">
        <v>8</v>
      </c>
      <c r="G83" s="13">
        <v>0.75</v>
      </c>
      <c r="H83" s="12">
        <v>1</v>
      </c>
      <c r="I83" s="12">
        <v>1</v>
      </c>
      <c r="J83" s="12">
        <v>1</v>
      </c>
      <c r="K83" s="12" t="s">
        <v>73</v>
      </c>
      <c r="L83" s="12" t="s">
        <v>66</v>
      </c>
      <c r="M83" s="14">
        <v>46203</v>
      </c>
      <c r="N83" s="14">
        <v>46249</v>
      </c>
      <c r="O83" s="12" t="s">
        <v>67</v>
      </c>
    </row>
    <row r="84" spans="1:15" x14ac:dyDescent="0.25">
      <c r="A84" s="12" t="s">
        <v>201</v>
      </c>
      <c r="B84" s="12" t="s">
        <v>76</v>
      </c>
      <c r="C84" s="12" t="s">
        <v>182</v>
      </c>
      <c r="D84" s="12">
        <v>2</v>
      </c>
      <c r="E84" s="12">
        <v>3</v>
      </c>
      <c r="F84" s="12">
        <v>6</v>
      </c>
      <c r="G84" s="13">
        <v>0.43</v>
      </c>
      <c r="H84" s="12">
        <v>1.1000000000000001</v>
      </c>
      <c r="I84" s="12">
        <v>1.7</v>
      </c>
      <c r="J84" s="12">
        <v>1.9</v>
      </c>
      <c r="K84" s="12" t="s">
        <v>112</v>
      </c>
      <c r="L84" s="12" t="s">
        <v>74</v>
      </c>
      <c r="M84" s="14">
        <v>46039</v>
      </c>
      <c r="N84" s="14">
        <v>46374</v>
      </c>
      <c r="O84" s="12" t="s">
        <v>67</v>
      </c>
    </row>
    <row r="85" spans="1:15" x14ac:dyDescent="0.25">
      <c r="A85" s="12" t="s">
        <v>202</v>
      </c>
      <c r="B85" s="12" t="s">
        <v>122</v>
      </c>
      <c r="C85" s="12" t="s">
        <v>182</v>
      </c>
      <c r="D85" s="12">
        <v>1</v>
      </c>
      <c r="E85" s="12">
        <v>4</v>
      </c>
      <c r="F85" s="12">
        <v>4</v>
      </c>
      <c r="G85" s="13">
        <v>0.99</v>
      </c>
      <c r="H85" s="12">
        <v>1</v>
      </c>
      <c r="I85" s="12">
        <v>1</v>
      </c>
      <c r="J85" s="12">
        <v>1</v>
      </c>
      <c r="K85" s="12" t="s">
        <v>91</v>
      </c>
      <c r="L85" s="12" t="s">
        <v>61</v>
      </c>
      <c r="M85" s="14">
        <v>45911</v>
      </c>
      <c r="N85" s="14">
        <v>46280</v>
      </c>
      <c r="O85" s="12" t="s">
        <v>67</v>
      </c>
    </row>
    <row r="86" spans="1:15" x14ac:dyDescent="0.25">
      <c r="A86" s="12" t="s">
        <v>203</v>
      </c>
      <c r="B86" s="12" t="s">
        <v>89</v>
      </c>
      <c r="C86" s="12" t="s">
        <v>171</v>
      </c>
      <c r="D86" s="12">
        <v>4</v>
      </c>
      <c r="E86" s="12">
        <v>4</v>
      </c>
      <c r="F86" s="12">
        <v>16</v>
      </c>
      <c r="G86" s="13">
        <v>0.88</v>
      </c>
      <c r="H86" s="12">
        <v>1</v>
      </c>
      <c r="I86" s="12">
        <v>1</v>
      </c>
      <c r="J86" s="12">
        <v>1</v>
      </c>
      <c r="K86" s="12" t="s">
        <v>78</v>
      </c>
      <c r="L86" s="12" t="s">
        <v>84</v>
      </c>
      <c r="M86" s="14">
        <v>45931</v>
      </c>
      <c r="N86" s="14">
        <v>46330</v>
      </c>
      <c r="O86" s="12" t="s">
        <v>67</v>
      </c>
    </row>
    <row r="87" spans="1:15" x14ac:dyDescent="0.25">
      <c r="A87" s="12" t="s">
        <v>204</v>
      </c>
      <c r="B87" s="12" t="s">
        <v>69</v>
      </c>
      <c r="C87" s="12" t="s">
        <v>205</v>
      </c>
      <c r="D87" s="12">
        <v>5</v>
      </c>
      <c r="E87" s="12">
        <v>3</v>
      </c>
      <c r="F87" s="12">
        <v>15</v>
      </c>
      <c r="G87" s="13">
        <v>0.87</v>
      </c>
      <c r="H87" s="12">
        <v>1</v>
      </c>
      <c r="I87" s="12">
        <v>1</v>
      </c>
      <c r="J87" s="12">
        <v>1</v>
      </c>
      <c r="K87" s="12" t="s">
        <v>125</v>
      </c>
      <c r="L87" s="12" t="s">
        <v>61</v>
      </c>
      <c r="M87" s="14">
        <v>45903</v>
      </c>
      <c r="N87" s="14">
        <v>46312</v>
      </c>
      <c r="O87" s="12" t="s">
        <v>67</v>
      </c>
    </row>
    <row r="88" spans="1:15" x14ac:dyDescent="0.25">
      <c r="A88" s="12" t="s">
        <v>206</v>
      </c>
      <c r="B88" s="12" t="s">
        <v>63</v>
      </c>
      <c r="C88" s="12" t="s">
        <v>156</v>
      </c>
      <c r="D88" s="12">
        <v>5</v>
      </c>
      <c r="E88" s="12">
        <v>3</v>
      </c>
      <c r="F88" s="12">
        <v>15</v>
      </c>
      <c r="G88" s="13">
        <v>0.72</v>
      </c>
      <c r="H88" s="12">
        <v>1.4</v>
      </c>
      <c r="I88" s="12">
        <v>1</v>
      </c>
      <c r="J88" s="12">
        <v>1.4</v>
      </c>
      <c r="K88" s="12" t="s">
        <v>98</v>
      </c>
      <c r="L88" s="12" t="s">
        <v>66</v>
      </c>
      <c r="M88" s="14">
        <v>45997</v>
      </c>
      <c r="N88" s="14">
        <v>46456</v>
      </c>
      <c r="O88" s="12" t="s">
        <v>67</v>
      </c>
    </row>
    <row r="89" spans="1:15" x14ac:dyDescent="0.25">
      <c r="A89" s="12" t="s">
        <v>207</v>
      </c>
      <c r="B89" s="12" t="s">
        <v>96</v>
      </c>
      <c r="C89" s="12" t="s">
        <v>64</v>
      </c>
      <c r="D89" s="12">
        <v>1</v>
      </c>
      <c r="E89" s="12">
        <v>3</v>
      </c>
      <c r="F89" s="12">
        <v>3</v>
      </c>
      <c r="G89" s="13">
        <v>0.24</v>
      </c>
      <c r="H89" s="12">
        <v>1</v>
      </c>
      <c r="I89" s="12">
        <v>2.2999999999999998</v>
      </c>
      <c r="J89" s="12">
        <v>2.2999999999999998</v>
      </c>
      <c r="K89" s="12" t="s">
        <v>65</v>
      </c>
      <c r="L89" s="12" t="s">
        <v>61</v>
      </c>
      <c r="M89" s="14">
        <v>46123</v>
      </c>
      <c r="N89" s="14">
        <v>46586</v>
      </c>
      <c r="O89" s="12" t="s">
        <v>67</v>
      </c>
    </row>
    <row r="90" spans="1:15" x14ac:dyDescent="0.25">
      <c r="A90" s="12" t="s">
        <v>208</v>
      </c>
      <c r="B90" s="12" t="s">
        <v>122</v>
      </c>
      <c r="C90" s="12" t="s">
        <v>94</v>
      </c>
      <c r="D90" s="12">
        <v>4</v>
      </c>
      <c r="E90" s="12">
        <v>3</v>
      </c>
      <c r="F90" s="12">
        <v>12</v>
      </c>
      <c r="G90" s="13">
        <v>0.22</v>
      </c>
      <c r="H90" s="12">
        <v>3.1</v>
      </c>
      <c r="I90" s="12">
        <v>2.2999999999999998</v>
      </c>
      <c r="J90" s="12">
        <v>7.1</v>
      </c>
      <c r="K90" s="12" t="s">
        <v>78</v>
      </c>
      <c r="L90" s="12" t="s">
        <v>56</v>
      </c>
      <c r="M90" s="14">
        <v>45873</v>
      </c>
      <c r="N90" s="14">
        <v>46339</v>
      </c>
      <c r="O90" s="12" t="s">
        <v>67</v>
      </c>
    </row>
    <row r="91" spans="1:15" x14ac:dyDescent="0.25">
      <c r="A91" s="12" t="s">
        <v>209</v>
      </c>
      <c r="B91" s="12" t="s">
        <v>82</v>
      </c>
      <c r="C91" s="12" t="s">
        <v>114</v>
      </c>
      <c r="D91" s="12">
        <v>2</v>
      </c>
      <c r="E91" s="12">
        <v>2</v>
      </c>
      <c r="F91" s="12">
        <v>4</v>
      </c>
      <c r="G91" s="13">
        <v>0.68</v>
      </c>
      <c r="H91" s="12">
        <v>1</v>
      </c>
      <c r="I91" s="12">
        <v>1</v>
      </c>
      <c r="J91" s="12">
        <v>1</v>
      </c>
      <c r="K91" s="12" t="s">
        <v>91</v>
      </c>
      <c r="L91" s="12" t="s">
        <v>56</v>
      </c>
      <c r="M91" s="14">
        <v>46021</v>
      </c>
      <c r="N91" s="14">
        <v>46443</v>
      </c>
      <c r="O91" s="12" t="s">
        <v>67</v>
      </c>
    </row>
    <row r="92" spans="1:15" x14ac:dyDescent="0.25">
      <c r="A92" s="12" t="s">
        <v>210</v>
      </c>
      <c r="B92" s="12" t="s">
        <v>63</v>
      </c>
      <c r="C92" s="12" t="s">
        <v>102</v>
      </c>
      <c r="D92" s="12">
        <v>2</v>
      </c>
      <c r="E92" s="12">
        <v>5</v>
      </c>
      <c r="F92" s="12">
        <v>10</v>
      </c>
      <c r="G92" s="13">
        <v>0.82</v>
      </c>
      <c r="H92" s="12">
        <v>1</v>
      </c>
      <c r="I92" s="12">
        <v>1</v>
      </c>
      <c r="J92" s="12">
        <v>1</v>
      </c>
      <c r="K92" s="12" t="s">
        <v>73</v>
      </c>
      <c r="L92" s="12" t="s">
        <v>66</v>
      </c>
      <c r="M92" s="14">
        <v>46051</v>
      </c>
      <c r="N92" s="14">
        <v>46414</v>
      </c>
      <c r="O92" s="12" t="s">
        <v>67</v>
      </c>
    </row>
    <row r="93" spans="1:15" x14ac:dyDescent="0.25">
      <c r="A93" s="12" t="s">
        <v>211</v>
      </c>
      <c r="B93" s="12" t="s">
        <v>76</v>
      </c>
      <c r="C93" s="12" t="s">
        <v>156</v>
      </c>
      <c r="D93" s="12">
        <v>1</v>
      </c>
      <c r="E93" s="12">
        <v>3</v>
      </c>
      <c r="F93" s="12">
        <v>3</v>
      </c>
      <c r="G93" s="13">
        <v>0.75</v>
      </c>
      <c r="H93" s="12">
        <v>1</v>
      </c>
      <c r="I93" s="12">
        <v>1</v>
      </c>
      <c r="J93" s="12">
        <v>1</v>
      </c>
      <c r="K93" s="12" t="s">
        <v>73</v>
      </c>
      <c r="L93" s="12" t="s">
        <v>84</v>
      </c>
      <c r="M93" s="14">
        <v>45962</v>
      </c>
      <c r="N93" s="14">
        <v>46517</v>
      </c>
      <c r="O93" s="12" t="s">
        <v>67</v>
      </c>
    </row>
    <row r="94" spans="1:15" x14ac:dyDescent="0.25">
      <c r="A94" s="12" t="s">
        <v>212</v>
      </c>
      <c r="B94" s="12" t="s">
        <v>141</v>
      </c>
      <c r="C94" s="12" t="s">
        <v>104</v>
      </c>
      <c r="D94" s="12">
        <v>3</v>
      </c>
      <c r="E94" s="12">
        <v>3</v>
      </c>
      <c r="F94" s="12">
        <v>9</v>
      </c>
      <c r="G94" s="13">
        <v>0.24</v>
      </c>
      <c r="H94" s="12">
        <v>2.2999999999999998</v>
      </c>
      <c r="I94" s="12">
        <v>2.2999999999999998</v>
      </c>
      <c r="J94" s="12">
        <v>5.3</v>
      </c>
      <c r="K94" s="12" t="s">
        <v>98</v>
      </c>
      <c r="L94" s="12" t="s">
        <v>66</v>
      </c>
      <c r="M94" s="14">
        <v>46178</v>
      </c>
      <c r="N94" s="14">
        <v>46347</v>
      </c>
      <c r="O94" s="12" t="s">
        <v>67</v>
      </c>
    </row>
    <row r="95" spans="1:15" x14ac:dyDescent="0.25">
      <c r="A95" s="12" t="s">
        <v>213</v>
      </c>
      <c r="B95" s="12" t="s">
        <v>63</v>
      </c>
      <c r="C95" s="12" t="s">
        <v>171</v>
      </c>
      <c r="D95" s="12">
        <v>2</v>
      </c>
      <c r="E95" s="12">
        <v>3</v>
      </c>
      <c r="F95" s="12">
        <v>6</v>
      </c>
      <c r="G95" s="13">
        <v>0.57999999999999996</v>
      </c>
      <c r="H95" s="12">
        <v>1</v>
      </c>
      <c r="I95" s="12">
        <v>1.3</v>
      </c>
      <c r="J95" s="12">
        <v>1.3</v>
      </c>
      <c r="K95" s="12" t="s">
        <v>65</v>
      </c>
      <c r="L95" s="12" t="s">
        <v>84</v>
      </c>
      <c r="M95" s="14">
        <v>46072</v>
      </c>
      <c r="N95" s="14">
        <v>46577</v>
      </c>
      <c r="O95" s="12" t="s">
        <v>67</v>
      </c>
    </row>
    <row r="96" spans="1:15" x14ac:dyDescent="0.25">
      <c r="A96" s="12" t="s">
        <v>214</v>
      </c>
      <c r="B96" s="12" t="s">
        <v>107</v>
      </c>
      <c r="C96" s="12" t="s">
        <v>215</v>
      </c>
      <c r="D96" s="12">
        <v>3</v>
      </c>
      <c r="E96" s="12">
        <v>2</v>
      </c>
      <c r="F96" s="12">
        <v>6</v>
      </c>
      <c r="G96" s="13">
        <v>0.61</v>
      </c>
      <c r="H96" s="12">
        <v>1.2</v>
      </c>
      <c r="I96" s="12">
        <v>1</v>
      </c>
      <c r="J96" s="12">
        <v>1.2</v>
      </c>
      <c r="K96" s="12" t="s">
        <v>91</v>
      </c>
      <c r="L96" s="12" t="s">
        <v>61</v>
      </c>
      <c r="M96" s="14">
        <v>46207</v>
      </c>
      <c r="N96" s="14">
        <v>46467</v>
      </c>
      <c r="O96" s="12" t="s">
        <v>67</v>
      </c>
    </row>
    <row r="97" spans="1:15" x14ac:dyDescent="0.25">
      <c r="A97" s="12" t="s">
        <v>216</v>
      </c>
      <c r="B97" s="12" t="s">
        <v>82</v>
      </c>
      <c r="C97" s="12" t="s">
        <v>100</v>
      </c>
      <c r="D97" s="12">
        <v>5</v>
      </c>
      <c r="E97" s="12">
        <v>3</v>
      </c>
      <c r="F97" s="12">
        <v>15</v>
      </c>
      <c r="G97" s="13">
        <v>0.68</v>
      </c>
      <c r="H97" s="12">
        <v>1.6</v>
      </c>
      <c r="I97" s="12">
        <v>1</v>
      </c>
      <c r="J97" s="12">
        <v>1.6</v>
      </c>
      <c r="K97" s="12" t="s">
        <v>55</v>
      </c>
      <c r="L97" s="12" t="s">
        <v>61</v>
      </c>
      <c r="M97" s="14">
        <v>46192</v>
      </c>
      <c r="N97" s="14">
        <v>46286</v>
      </c>
      <c r="O97" s="12" t="s">
        <v>67</v>
      </c>
    </row>
    <row r="98" spans="1:15" x14ac:dyDescent="0.25">
      <c r="A98" s="12" t="s">
        <v>217</v>
      </c>
      <c r="B98" s="12" t="s">
        <v>76</v>
      </c>
      <c r="C98" s="12" t="s">
        <v>152</v>
      </c>
      <c r="D98" s="12">
        <v>2</v>
      </c>
      <c r="E98" s="12">
        <v>1</v>
      </c>
      <c r="F98" s="12">
        <v>2</v>
      </c>
      <c r="G98" s="13">
        <v>0.23</v>
      </c>
      <c r="H98" s="12">
        <v>1.5</v>
      </c>
      <c r="I98" s="12">
        <v>1</v>
      </c>
      <c r="J98" s="12">
        <v>1.5</v>
      </c>
      <c r="K98" s="12" t="s">
        <v>112</v>
      </c>
      <c r="L98" s="12" t="s">
        <v>56</v>
      </c>
      <c r="M98" s="14">
        <v>46043</v>
      </c>
      <c r="N98" s="14">
        <v>46525</v>
      </c>
      <c r="O98" s="12" t="s">
        <v>67</v>
      </c>
    </row>
    <row r="99" spans="1:15" x14ac:dyDescent="0.25">
      <c r="A99" s="12" t="s">
        <v>218</v>
      </c>
      <c r="B99" s="12" t="s">
        <v>63</v>
      </c>
      <c r="C99" s="12" t="s">
        <v>54</v>
      </c>
      <c r="D99" s="12">
        <v>1</v>
      </c>
      <c r="E99" s="12">
        <v>4</v>
      </c>
      <c r="F99" s="12">
        <v>4</v>
      </c>
      <c r="G99" s="13">
        <v>0.46</v>
      </c>
      <c r="H99" s="12">
        <v>1</v>
      </c>
      <c r="I99" s="12">
        <v>2.2000000000000002</v>
      </c>
      <c r="J99" s="12">
        <v>2.2000000000000002</v>
      </c>
      <c r="K99" s="12" t="s">
        <v>73</v>
      </c>
      <c r="L99" s="12" t="s">
        <v>61</v>
      </c>
      <c r="M99" s="14">
        <v>46085</v>
      </c>
      <c r="N99" s="14">
        <v>46373</v>
      </c>
      <c r="O99" s="12" t="s">
        <v>67</v>
      </c>
    </row>
    <row r="100" spans="1:15" x14ac:dyDescent="0.25">
      <c r="A100" s="12" t="s">
        <v>219</v>
      </c>
      <c r="B100" s="12" t="s">
        <v>107</v>
      </c>
      <c r="C100" s="12" t="s">
        <v>220</v>
      </c>
      <c r="D100" s="12">
        <v>1</v>
      </c>
      <c r="E100" s="12">
        <v>3</v>
      </c>
      <c r="F100" s="12">
        <v>3</v>
      </c>
      <c r="G100" s="13">
        <v>0.69</v>
      </c>
      <c r="H100" s="12">
        <v>1</v>
      </c>
      <c r="I100" s="12">
        <v>1</v>
      </c>
      <c r="J100" s="12">
        <v>1</v>
      </c>
      <c r="K100" s="12" t="s">
        <v>125</v>
      </c>
      <c r="L100" s="12" t="s">
        <v>66</v>
      </c>
      <c r="M100" s="14">
        <v>46186</v>
      </c>
      <c r="N100" s="14">
        <v>46351</v>
      </c>
      <c r="O100" s="12" t="s">
        <v>67</v>
      </c>
    </row>
    <row r="101" spans="1:15" x14ac:dyDescent="0.25">
      <c r="A101" s="12" t="s">
        <v>221</v>
      </c>
      <c r="B101" s="12" t="s">
        <v>122</v>
      </c>
      <c r="C101" s="12" t="s">
        <v>158</v>
      </c>
      <c r="D101" s="12">
        <v>5</v>
      </c>
      <c r="E101" s="12">
        <v>2</v>
      </c>
      <c r="F101" s="12">
        <v>10</v>
      </c>
      <c r="G101" s="13">
        <v>0.38</v>
      </c>
      <c r="H101" s="12">
        <v>3.1</v>
      </c>
      <c r="I101" s="12">
        <v>1.2</v>
      </c>
      <c r="J101" s="12">
        <v>3.7</v>
      </c>
      <c r="K101" s="12" t="s">
        <v>98</v>
      </c>
      <c r="L101" s="12" t="s">
        <v>74</v>
      </c>
      <c r="M101" s="14">
        <v>46079</v>
      </c>
      <c r="N101" s="14">
        <v>46365</v>
      </c>
      <c r="O101" s="12" t="s">
        <v>67</v>
      </c>
    </row>
    <row r="102" spans="1:15" x14ac:dyDescent="0.25">
      <c r="A102" s="12" t="s">
        <v>222</v>
      </c>
      <c r="B102" s="12" t="s">
        <v>82</v>
      </c>
      <c r="C102" s="12" t="s">
        <v>156</v>
      </c>
      <c r="D102" s="12">
        <v>3</v>
      </c>
      <c r="E102" s="12">
        <v>3</v>
      </c>
      <c r="F102" s="12">
        <v>9</v>
      </c>
      <c r="G102" s="13">
        <v>0.3</v>
      </c>
      <c r="H102" s="12">
        <v>2.1</v>
      </c>
      <c r="I102" s="12">
        <v>2.1</v>
      </c>
      <c r="J102" s="12">
        <v>4.4000000000000004</v>
      </c>
      <c r="K102" s="12" t="s">
        <v>55</v>
      </c>
      <c r="L102" s="12" t="s">
        <v>74</v>
      </c>
      <c r="M102" s="14">
        <v>45942</v>
      </c>
      <c r="N102" s="14">
        <v>46495</v>
      </c>
      <c r="O102" s="12" t="s">
        <v>67</v>
      </c>
    </row>
    <row r="103" spans="1:15" x14ac:dyDescent="0.25">
      <c r="A103" s="12" t="s">
        <v>223</v>
      </c>
      <c r="B103" s="12" t="s">
        <v>107</v>
      </c>
      <c r="C103" s="12" t="s">
        <v>175</v>
      </c>
      <c r="D103" s="12">
        <v>3</v>
      </c>
      <c r="E103" s="12">
        <v>4</v>
      </c>
      <c r="F103" s="12">
        <v>12</v>
      </c>
      <c r="G103" s="13">
        <v>0.52</v>
      </c>
      <c r="H103" s="12">
        <v>1.4</v>
      </c>
      <c r="I103" s="12">
        <v>1.9</v>
      </c>
      <c r="J103" s="12">
        <v>2.7</v>
      </c>
      <c r="K103" s="12" t="s">
        <v>73</v>
      </c>
      <c r="L103" s="12" t="s">
        <v>61</v>
      </c>
      <c r="M103" s="14">
        <v>46030</v>
      </c>
      <c r="N103" s="14">
        <v>46401</v>
      </c>
      <c r="O103" s="12" t="s">
        <v>67</v>
      </c>
    </row>
    <row r="104" spans="1:15" x14ac:dyDescent="0.25">
      <c r="A104" s="12" t="s">
        <v>224</v>
      </c>
      <c r="B104" s="12" t="s">
        <v>69</v>
      </c>
      <c r="C104" s="12" t="s">
        <v>152</v>
      </c>
      <c r="D104" s="12">
        <v>1</v>
      </c>
      <c r="E104" s="12">
        <v>1</v>
      </c>
      <c r="F104" s="12">
        <v>1</v>
      </c>
      <c r="G104" s="13">
        <v>0.28000000000000003</v>
      </c>
      <c r="H104" s="12">
        <v>1</v>
      </c>
      <c r="I104" s="12">
        <v>1</v>
      </c>
      <c r="J104" s="12">
        <v>1</v>
      </c>
      <c r="K104" s="12" t="s">
        <v>159</v>
      </c>
      <c r="L104" s="12" t="s">
        <v>84</v>
      </c>
      <c r="M104" s="14">
        <v>45882</v>
      </c>
      <c r="N104" s="14">
        <v>46315</v>
      </c>
      <c r="O104" s="12" t="s">
        <v>67</v>
      </c>
    </row>
    <row r="105" spans="1:15" x14ac:dyDescent="0.25">
      <c r="A105" s="12" t="s">
        <v>225</v>
      </c>
      <c r="B105" s="12" t="s">
        <v>82</v>
      </c>
      <c r="C105" s="12" t="s">
        <v>150</v>
      </c>
      <c r="D105" s="12">
        <v>3</v>
      </c>
      <c r="E105" s="12">
        <v>2</v>
      </c>
      <c r="F105" s="12">
        <v>6</v>
      </c>
      <c r="G105" s="13">
        <v>0.88</v>
      </c>
      <c r="H105" s="12">
        <v>1</v>
      </c>
      <c r="I105" s="12">
        <v>1</v>
      </c>
      <c r="J105" s="12">
        <v>1</v>
      </c>
      <c r="K105" s="12" t="s">
        <v>98</v>
      </c>
      <c r="L105" s="12" t="s">
        <v>84</v>
      </c>
      <c r="M105" s="14">
        <v>45880</v>
      </c>
      <c r="N105" s="14">
        <v>46537</v>
      </c>
      <c r="O105" s="12" t="s">
        <v>67</v>
      </c>
    </row>
    <row r="106" spans="1:15" x14ac:dyDescent="0.25">
      <c r="A106" s="12" t="s">
        <v>226</v>
      </c>
      <c r="B106" s="12" t="s">
        <v>96</v>
      </c>
      <c r="C106" s="12" t="s">
        <v>72</v>
      </c>
      <c r="D106" s="12">
        <v>2</v>
      </c>
      <c r="E106" s="12">
        <v>4</v>
      </c>
      <c r="F106" s="12">
        <v>8</v>
      </c>
      <c r="G106" s="13">
        <v>0.7</v>
      </c>
      <c r="H106" s="12">
        <v>1</v>
      </c>
      <c r="I106" s="12">
        <v>1.2</v>
      </c>
      <c r="J106" s="12">
        <v>1.2</v>
      </c>
      <c r="K106" s="12" t="s">
        <v>65</v>
      </c>
      <c r="L106" s="12" t="s">
        <v>74</v>
      </c>
      <c r="M106" s="14">
        <v>46211</v>
      </c>
      <c r="N106" s="14">
        <v>46553</v>
      </c>
      <c r="O106" s="12" t="s">
        <v>67</v>
      </c>
    </row>
    <row r="107" spans="1:15" x14ac:dyDescent="0.25">
      <c r="A107" s="12" t="s">
        <v>227</v>
      </c>
      <c r="B107" s="12" t="s">
        <v>76</v>
      </c>
      <c r="C107" s="12" t="s">
        <v>182</v>
      </c>
      <c r="D107" s="12">
        <v>4</v>
      </c>
      <c r="E107" s="12">
        <v>2</v>
      </c>
      <c r="F107" s="12">
        <v>8</v>
      </c>
      <c r="G107" s="13">
        <v>0.62</v>
      </c>
      <c r="H107" s="12">
        <v>1.5</v>
      </c>
      <c r="I107" s="12">
        <v>1</v>
      </c>
      <c r="J107" s="12">
        <v>1.5</v>
      </c>
      <c r="K107" s="12" t="s">
        <v>159</v>
      </c>
      <c r="L107" s="12" t="s">
        <v>74</v>
      </c>
      <c r="M107" s="14">
        <v>45881</v>
      </c>
      <c r="N107" s="14">
        <v>46512</v>
      </c>
      <c r="O107" s="12" t="s">
        <v>67</v>
      </c>
    </row>
    <row r="108" spans="1:15" x14ac:dyDescent="0.25">
      <c r="A108" s="12" t="s">
        <v>228</v>
      </c>
      <c r="B108" s="12" t="s">
        <v>141</v>
      </c>
      <c r="C108" s="12" t="s">
        <v>148</v>
      </c>
      <c r="D108" s="12">
        <v>3</v>
      </c>
      <c r="E108" s="12">
        <v>3</v>
      </c>
      <c r="F108" s="12">
        <v>9</v>
      </c>
      <c r="G108" s="13">
        <v>0.23</v>
      </c>
      <c r="H108" s="12">
        <v>2.2999999999999998</v>
      </c>
      <c r="I108" s="12">
        <v>2.2999999999999998</v>
      </c>
      <c r="J108" s="12">
        <v>5.3</v>
      </c>
      <c r="K108" s="12" t="s">
        <v>78</v>
      </c>
      <c r="L108" s="12" t="s">
        <v>84</v>
      </c>
      <c r="M108" s="14">
        <v>46080</v>
      </c>
      <c r="N108" s="14">
        <v>46366</v>
      </c>
      <c r="O108" s="12" t="s">
        <v>67</v>
      </c>
    </row>
    <row r="109" spans="1:15" x14ac:dyDescent="0.25">
      <c r="A109" s="12" t="s">
        <v>229</v>
      </c>
      <c r="B109" s="12" t="s">
        <v>69</v>
      </c>
      <c r="C109" s="12" t="s">
        <v>215</v>
      </c>
      <c r="D109" s="12">
        <v>3</v>
      </c>
      <c r="E109" s="12">
        <v>1</v>
      </c>
      <c r="F109" s="12">
        <v>3</v>
      </c>
      <c r="G109" s="13">
        <v>0.98</v>
      </c>
      <c r="H109" s="12">
        <v>1</v>
      </c>
      <c r="I109" s="12">
        <v>1</v>
      </c>
      <c r="J109" s="12">
        <v>1</v>
      </c>
      <c r="K109" s="12" t="s">
        <v>55</v>
      </c>
      <c r="L109" s="12" t="s">
        <v>61</v>
      </c>
      <c r="M109" s="14">
        <v>45938</v>
      </c>
      <c r="N109" s="14">
        <v>46492</v>
      </c>
      <c r="O109" s="12" t="s">
        <v>67</v>
      </c>
    </row>
    <row r="110" spans="1:15" x14ac:dyDescent="0.25">
      <c r="A110" s="12" t="s">
        <v>230</v>
      </c>
      <c r="B110" s="12" t="s">
        <v>107</v>
      </c>
      <c r="C110" s="12" t="s">
        <v>158</v>
      </c>
      <c r="D110" s="12">
        <v>5</v>
      </c>
      <c r="E110" s="12">
        <v>5</v>
      </c>
      <c r="F110" s="12">
        <v>25</v>
      </c>
      <c r="G110" s="13">
        <v>0.41</v>
      </c>
      <c r="H110" s="12">
        <v>3</v>
      </c>
      <c r="I110" s="12">
        <v>3</v>
      </c>
      <c r="J110" s="12">
        <v>9</v>
      </c>
      <c r="K110" s="12" t="s">
        <v>60</v>
      </c>
      <c r="L110" s="12" t="s">
        <v>66</v>
      </c>
      <c r="M110" s="14">
        <v>45895</v>
      </c>
      <c r="N110" s="14">
        <v>46415</v>
      </c>
      <c r="O110" s="12" t="s">
        <v>67</v>
      </c>
    </row>
    <row r="111" spans="1:15" x14ac:dyDescent="0.25">
      <c r="A111" s="12" t="s">
        <v>231</v>
      </c>
      <c r="B111" s="12" t="s">
        <v>96</v>
      </c>
      <c r="C111" s="12" t="s">
        <v>161</v>
      </c>
      <c r="D111" s="12">
        <v>3</v>
      </c>
      <c r="E111" s="12">
        <v>5</v>
      </c>
      <c r="F111" s="12">
        <v>15</v>
      </c>
      <c r="G111" s="13">
        <v>0.78</v>
      </c>
      <c r="H111" s="12">
        <v>1</v>
      </c>
      <c r="I111" s="12">
        <v>1.1000000000000001</v>
      </c>
      <c r="J111" s="12">
        <v>1.1000000000000001</v>
      </c>
      <c r="K111" s="12" t="s">
        <v>98</v>
      </c>
      <c r="L111" s="12" t="s">
        <v>74</v>
      </c>
      <c r="M111" s="14">
        <v>45949</v>
      </c>
      <c r="N111" s="14">
        <v>46476</v>
      </c>
      <c r="O111" s="12" t="s">
        <v>67</v>
      </c>
    </row>
    <row r="112" spans="1:15" x14ac:dyDescent="0.25">
      <c r="A112" s="12" t="s">
        <v>232</v>
      </c>
      <c r="B112" s="12" t="s">
        <v>63</v>
      </c>
      <c r="C112" s="12" t="s">
        <v>186</v>
      </c>
      <c r="D112" s="12">
        <v>4</v>
      </c>
      <c r="E112" s="12">
        <v>4</v>
      </c>
      <c r="F112" s="12">
        <v>16</v>
      </c>
      <c r="G112" s="13">
        <v>0.57999999999999996</v>
      </c>
      <c r="H112" s="12">
        <v>1.7</v>
      </c>
      <c r="I112" s="12">
        <v>1.7</v>
      </c>
      <c r="J112" s="12">
        <v>2.9</v>
      </c>
      <c r="K112" s="12" t="s">
        <v>159</v>
      </c>
      <c r="L112" s="12" t="s">
        <v>56</v>
      </c>
      <c r="M112" s="14">
        <v>46171</v>
      </c>
      <c r="N112" s="14">
        <v>46346</v>
      </c>
      <c r="O112" s="12" t="s">
        <v>67</v>
      </c>
    </row>
    <row r="113" spans="1:15" x14ac:dyDescent="0.25">
      <c r="A113" s="12" t="s">
        <v>233</v>
      </c>
      <c r="B113" s="12" t="s">
        <v>141</v>
      </c>
      <c r="C113" s="12" t="s">
        <v>150</v>
      </c>
      <c r="D113" s="12">
        <v>5</v>
      </c>
      <c r="E113" s="12">
        <v>2</v>
      </c>
      <c r="F113" s="12">
        <v>10</v>
      </c>
      <c r="G113" s="13">
        <v>0.98</v>
      </c>
      <c r="H113" s="12">
        <v>1</v>
      </c>
      <c r="I113" s="12">
        <v>1</v>
      </c>
      <c r="J113" s="12">
        <v>1</v>
      </c>
      <c r="K113" s="12" t="s">
        <v>60</v>
      </c>
      <c r="L113" s="12" t="s">
        <v>66</v>
      </c>
      <c r="M113" s="14">
        <v>46068</v>
      </c>
      <c r="N113" s="14">
        <v>46517</v>
      </c>
      <c r="O113" s="12" t="s">
        <v>67</v>
      </c>
    </row>
    <row r="114" spans="1:15" x14ac:dyDescent="0.25">
      <c r="A114" s="12" t="s">
        <v>234</v>
      </c>
      <c r="B114" s="12" t="s">
        <v>82</v>
      </c>
      <c r="C114" s="12" t="s">
        <v>123</v>
      </c>
      <c r="D114" s="12">
        <v>5</v>
      </c>
      <c r="E114" s="12">
        <v>3</v>
      </c>
      <c r="F114" s="12">
        <v>15</v>
      </c>
      <c r="G114" s="13">
        <v>0.89</v>
      </c>
      <c r="H114" s="12">
        <v>1</v>
      </c>
      <c r="I114" s="12">
        <v>1</v>
      </c>
      <c r="J114" s="12">
        <v>1</v>
      </c>
      <c r="K114" s="12" t="s">
        <v>125</v>
      </c>
      <c r="L114" s="12" t="s">
        <v>74</v>
      </c>
      <c r="M114" s="14">
        <v>45894</v>
      </c>
      <c r="N114" s="14">
        <v>46251</v>
      </c>
      <c r="O114" s="12" t="s">
        <v>67</v>
      </c>
    </row>
    <row r="115" spans="1:15" x14ac:dyDescent="0.25">
      <c r="A115" s="12" t="s">
        <v>235</v>
      </c>
      <c r="B115" s="12" t="s">
        <v>96</v>
      </c>
      <c r="C115" s="12" t="s">
        <v>134</v>
      </c>
      <c r="D115" s="12">
        <v>2</v>
      </c>
      <c r="E115" s="12">
        <v>1</v>
      </c>
      <c r="F115" s="12">
        <v>2</v>
      </c>
      <c r="G115" s="13">
        <v>0.93</v>
      </c>
      <c r="H115" s="12">
        <v>1</v>
      </c>
      <c r="I115" s="12">
        <v>1</v>
      </c>
      <c r="J115" s="12">
        <v>1</v>
      </c>
      <c r="K115" s="12" t="s">
        <v>91</v>
      </c>
      <c r="L115" s="12" t="s">
        <v>74</v>
      </c>
      <c r="M115" s="14">
        <v>46034</v>
      </c>
      <c r="N115" s="14">
        <v>46358</v>
      </c>
      <c r="O115" s="12" t="s">
        <v>67</v>
      </c>
    </row>
    <row r="116" spans="1:15" x14ac:dyDescent="0.25">
      <c r="A116" s="12" t="s">
        <v>236</v>
      </c>
      <c r="B116" s="12" t="s">
        <v>107</v>
      </c>
      <c r="C116" s="12" t="s">
        <v>131</v>
      </c>
      <c r="D116" s="12">
        <v>1</v>
      </c>
      <c r="E116" s="12">
        <v>4</v>
      </c>
      <c r="F116" s="12">
        <v>4</v>
      </c>
      <c r="G116" s="13">
        <v>0.67</v>
      </c>
      <c r="H116" s="12">
        <v>1</v>
      </c>
      <c r="I116" s="12">
        <v>1.3</v>
      </c>
      <c r="J116" s="12">
        <v>1.3</v>
      </c>
      <c r="K116" s="12" t="s">
        <v>55</v>
      </c>
      <c r="L116" s="12" t="s">
        <v>74</v>
      </c>
      <c r="M116" s="14">
        <v>46158</v>
      </c>
      <c r="N116" s="14">
        <v>46464</v>
      </c>
      <c r="O116" s="12" t="s">
        <v>67</v>
      </c>
    </row>
    <row r="117" spans="1:15" x14ac:dyDescent="0.25">
      <c r="A117" s="12" t="s">
        <v>237</v>
      </c>
      <c r="B117" s="12" t="s">
        <v>141</v>
      </c>
      <c r="C117" s="12" t="s">
        <v>118</v>
      </c>
      <c r="D117" s="12">
        <v>5</v>
      </c>
      <c r="E117" s="12">
        <v>2</v>
      </c>
      <c r="F117" s="12">
        <v>10</v>
      </c>
      <c r="G117" s="13">
        <v>0.98</v>
      </c>
      <c r="H117" s="12">
        <v>1</v>
      </c>
      <c r="I117" s="12">
        <v>1</v>
      </c>
      <c r="J117" s="12">
        <v>1</v>
      </c>
      <c r="K117" s="12" t="s">
        <v>125</v>
      </c>
      <c r="L117" s="12" t="s">
        <v>61</v>
      </c>
      <c r="M117" s="14">
        <v>45937</v>
      </c>
      <c r="N117" s="14">
        <v>46454</v>
      </c>
      <c r="O117" s="12" t="s">
        <v>67</v>
      </c>
    </row>
    <row r="118" spans="1:15" x14ac:dyDescent="0.25">
      <c r="A118" s="12" t="s">
        <v>238</v>
      </c>
      <c r="B118" s="12" t="s">
        <v>82</v>
      </c>
      <c r="C118" s="12" t="s">
        <v>168</v>
      </c>
      <c r="D118" s="12">
        <v>4</v>
      </c>
      <c r="E118" s="12">
        <v>3</v>
      </c>
      <c r="F118" s="12">
        <v>12</v>
      </c>
      <c r="G118" s="13">
        <v>0.24</v>
      </c>
      <c r="H118" s="12">
        <v>3</v>
      </c>
      <c r="I118" s="12">
        <v>2.2999999999999998</v>
      </c>
      <c r="J118" s="12">
        <v>6.9</v>
      </c>
      <c r="K118" s="12" t="s">
        <v>55</v>
      </c>
      <c r="L118" s="12" t="s">
        <v>74</v>
      </c>
      <c r="M118" s="14">
        <v>46176</v>
      </c>
      <c r="N118" s="14">
        <v>46348</v>
      </c>
      <c r="O118" s="12" t="s">
        <v>67</v>
      </c>
    </row>
    <row r="119" spans="1:15" x14ac:dyDescent="0.25">
      <c r="A119" s="12" t="s">
        <v>239</v>
      </c>
      <c r="B119" s="12" t="s">
        <v>141</v>
      </c>
      <c r="C119" s="12" t="s">
        <v>116</v>
      </c>
      <c r="D119" s="12">
        <v>5</v>
      </c>
      <c r="E119" s="12">
        <v>1</v>
      </c>
      <c r="F119" s="12">
        <v>5</v>
      </c>
      <c r="G119" s="13">
        <v>0.92</v>
      </c>
      <c r="H119" s="12">
        <v>1</v>
      </c>
      <c r="I119" s="12">
        <v>1</v>
      </c>
      <c r="J119" s="12">
        <v>1</v>
      </c>
      <c r="K119" s="12" t="s">
        <v>55</v>
      </c>
      <c r="L119" s="12" t="s">
        <v>61</v>
      </c>
      <c r="M119" s="14">
        <v>45947</v>
      </c>
      <c r="N119" s="14">
        <v>46246</v>
      </c>
      <c r="O119" s="12" t="s">
        <v>67</v>
      </c>
    </row>
    <row r="120" spans="1:15" x14ac:dyDescent="0.25">
      <c r="A120" s="12" t="s">
        <v>240</v>
      </c>
      <c r="B120" s="12" t="s">
        <v>76</v>
      </c>
      <c r="C120" s="12" t="s">
        <v>241</v>
      </c>
      <c r="D120" s="12">
        <v>2</v>
      </c>
      <c r="E120" s="12">
        <v>5</v>
      </c>
      <c r="F120" s="12">
        <v>10</v>
      </c>
      <c r="G120" s="13">
        <v>0.37</v>
      </c>
      <c r="H120" s="12">
        <v>1.3</v>
      </c>
      <c r="I120" s="12">
        <v>3.2</v>
      </c>
      <c r="J120" s="12">
        <v>4.2</v>
      </c>
      <c r="K120" s="12" t="s">
        <v>159</v>
      </c>
      <c r="L120" s="12" t="s">
        <v>61</v>
      </c>
      <c r="M120" s="14">
        <v>46005</v>
      </c>
      <c r="N120" s="14">
        <v>46454</v>
      </c>
      <c r="O120" s="12" t="s">
        <v>67</v>
      </c>
    </row>
    <row r="121" spans="1:15" x14ac:dyDescent="0.25">
      <c r="A121" s="12" t="s">
        <v>242</v>
      </c>
      <c r="B121" s="12" t="s">
        <v>76</v>
      </c>
      <c r="C121" s="12" t="s">
        <v>175</v>
      </c>
      <c r="D121" s="12">
        <v>2</v>
      </c>
      <c r="E121" s="12">
        <v>2</v>
      </c>
      <c r="F121" s="12">
        <v>4</v>
      </c>
      <c r="G121" s="13">
        <v>0.23</v>
      </c>
      <c r="H121" s="12">
        <v>1.5</v>
      </c>
      <c r="I121" s="12">
        <v>1.5</v>
      </c>
      <c r="J121" s="12">
        <v>2.2000000000000002</v>
      </c>
      <c r="K121" s="12" t="s">
        <v>65</v>
      </c>
      <c r="L121" s="12" t="s">
        <v>74</v>
      </c>
      <c r="M121" s="14">
        <v>46083</v>
      </c>
      <c r="N121" s="14">
        <v>46572</v>
      </c>
      <c r="O121" s="12" t="s">
        <v>67</v>
      </c>
    </row>
    <row r="122" spans="1:15" x14ac:dyDescent="0.25">
      <c r="A122" s="12" t="s">
        <v>243</v>
      </c>
      <c r="B122" s="12" t="s">
        <v>107</v>
      </c>
      <c r="C122" s="12" t="s">
        <v>100</v>
      </c>
      <c r="D122" s="12">
        <v>1</v>
      </c>
      <c r="E122" s="12">
        <v>5</v>
      </c>
      <c r="F122" s="12">
        <v>5</v>
      </c>
      <c r="G122" s="13">
        <v>0.57999999999999996</v>
      </c>
      <c r="H122" s="12">
        <v>1</v>
      </c>
      <c r="I122" s="12">
        <v>2.1</v>
      </c>
      <c r="J122" s="12">
        <v>2.1</v>
      </c>
      <c r="K122" s="12" t="s">
        <v>78</v>
      </c>
      <c r="L122" s="12" t="s">
        <v>66</v>
      </c>
      <c r="M122" s="14">
        <v>46178</v>
      </c>
      <c r="N122" s="14">
        <v>46500</v>
      </c>
      <c r="O122" s="12" t="s">
        <v>67</v>
      </c>
    </row>
    <row r="123" spans="1:15" x14ac:dyDescent="0.25">
      <c r="A123" s="12" t="s">
        <v>244</v>
      </c>
      <c r="B123" s="12" t="s">
        <v>107</v>
      </c>
      <c r="C123" s="12" t="s">
        <v>131</v>
      </c>
      <c r="D123" s="12">
        <v>2</v>
      </c>
      <c r="E123" s="12">
        <v>3</v>
      </c>
      <c r="F123" s="12">
        <v>6</v>
      </c>
      <c r="G123" s="13">
        <v>0.8</v>
      </c>
      <c r="H123" s="12">
        <v>1</v>
      </c>
      <c r="I123" s="12">
        <v>1</v>
      </c>
      <c r="J123" s="12">
        <v>1</v>
      </c>
      <c r="K123" s="12" t="s">
        <v>65</v>
      </c>
      <c r="L123" s="12" t="s">
        <v>84</v>
      </c>
      <c r="M123" s="14">
        <v>45931</v>
      </c>
      <c r="N123" s="14">
        <v>46442</v>
      </c>
      <c r="O123" s="12" t="s">
        <v>67</v>
      </c>
    </row>
    <row r="124" spans="1:15" x14ac:dyDescent="0.25">
      <c r="A124" s="12" t="s">
        <v>245</v>
      </c>
      <c r="B124" s="12" t="s">
        <v>53</v>
      </c>
      <c r="C124" s="12" t="s">
        <v>118</v>
      </c>
      <c r="D124" s="12">
        <v>1</v>
      </c>
      <c r="E124" s="12">
        <v>4</v>
      </c>
      <c r="F124" s="12">
        <v>4</v>
      </c>
      <c r="G124" s="13">
        <v>0.6</v>
      </c>
      <c r="H124" s="12">
        <v>1</v>
      </c>
      <c r="I124" s="12">
        <v>1.6</v>
      </c>
      <c r="J124" s="12">
        <v>1.6</v>
      </c>
      <c r="K124" s="12" t="s">
        <v>78</v>
      </c>
      <c r="L124" s="12" t="s">
        <v>56</v>
      </c>
      <c r="M124" s="14">
        <v>46000</v>
      </c>
      <c r="N124" s="14">
        <v>46291</v>
      </c>
      <c r="O124" s="12" t="s">
        <v>67</v>
      </c>
    </row>
    <row r="125" spans="1:15" x14ac:dyDescent="0.25">
      <c r="A125" s="12" t="s">
        <v>246</v>
      </c>
      <c r="B125" s="12" t="s">
        <v>63</v>
      </c>
      <c r="C125" s="12" t="s">
        <v>64</v>
      </c>
      <c r="D125" s="12">
        <v>5</v>
      </c>
      <c r="E125" s="12">
        <v>1</v>
      </c>
      <c r="F125" s="12">
        <v>5</v>
      </c>
      <c r="G125" s="13">
        <v>0.6</v>
      </c>
      <c r="H125" s="12">
        <v>2</v>
      </c>
      <c r="I125" s="12">
        <v>1</v>
      </c>
      <c r="J125" s="12">
        <v>2</v>
      </c>
      <c r="K125" s="12" t="s">
        <v>125</v>
      </c>
      <c r="L125" s="12" t="s">
        <v>84</v>
      </c>
      <c r="M125" s="14">
        <v>45925</v>
      </c>
      <c r="N125" s="14">
        <v>46340</v>
      </c>
      <c r="O125" s="12" t="s">
        <v>67</v>
      </c>
    </row>
    <row r="126" spans="1:15" x14ac:dyDescent="0.25">
      <c r="A126" s="12" t="s">
        <v>247</v>
      </c>
      <c r="B126" s="12" t="s">
        <v>141</v>
      </c>
      <c r="C126" s="12" t="s">
        <v>248</v>
      </c>
      <c r="D126" s="12">
        <v>1</v>
      </c>
      <c r="E126" s="12">
        <v>4</v>
      </c>
      <c r="F126" s="12">
        <v>4</v>
      </c>
      <c r="G126" s="13">
        <v>0.99</v>
      </c>
      <c r="H126" s="12">
        <v>1</v>
      </c>
      <c r="I126" s="12">
        <v>1</v>
      </c>
      <c r="J126" s="12">
        <v>1</v>
      </c>
      <c r="K126" s="12" t="s">
        <v>125</v>
      </c>
      <c r="L126" s="12" t="s">
        <v>84</v>
      </c>
      <c r="M126" s="14">
        <v>46215</v>
      </c>
      <c r="N126" s="14">
        <v>46585</v>
      </c>
      <c r="O126" s="12" t="s">
        <v>67</v>
      </c>
    </row>
    <row r="127" spans="1:15" x14ac:dyDescent="0.25">
      <c r="A127" s="12" t="s">
        <v>249</v>
      </c>
      <c r="B127" s="12" t="s">
        <v>63</v>
      </c>
      <c r="C127" s="12" t="s">
        <v>120</v>
      </c>
      <c r="D127" s="12">
        <v>4</v>
      </c>
      <c r="E127" s="12">
        <v>1</v>
      </c>
      <c r="F127" s="12">
        <v>4</v>
      </c>
      <c r="G127" s="13">
        <v>0.34</v>
      </c>
      <c r="H127" s="12">
        <v>2.6</v>
      </c>
      <c r="I127" s="12">
        <v>1</v>
      </c>
      <c r="J127" s="12">
        <v>2.6</v>
      </c>
      <c r="K127" s="12" t="s">
        <v>73</v>
      </c>
      <c r="L127" s="12" t="s">
        <v>74</v>
      </c>
      <c r="M127" s="14">
        <v>45908</v>
      </c>
      <c r="N127" s="14">
        <v>46279</v>
      </c>
      <c r="O127" s="12" t="s">
        <v>67</v>
      </c>
    </row>
    <row r="128" spans="1:15" x14ac:dyDescent="0.25">
      <c r="A128" s="12" t="s">
        <v>250</v>
      </c>
      <c r="B128" s="12" t="s">
        <v>76</v>
      </c>
      <c r="C128" s="12" t="s">
        <v>70</v>
      </c>
      <c r="D128" s="12">
        <v>1</v>
      </c>
      <c r="E128" s="12">
        <v>2</v>
      </c>
      <c r="F128" s="12">
        <v>2</v>
      </c>
      <c r="G128" s="13">
        <v>0.93</v>
      </c>
      <c r="H128" s="12">
        <v>1</v>
      </c>
      <c r="I128" s="12">
        <v>1</v>
      </c>
      <c r="J128" s="12">
        <v>1</v>
      </c>
      <c r="K128" s="12" t="s">
        <v>125</v>
      </c>
      <c r="L128" s="12" t="s">
        <v>61</v>
      </c>
      <c r="M128" s="14">
        <v>45928</v>
      </c>
      <c r="N128" s="14">
        <v>46264</v>
      </c>
      <c r="O128" s="12" t="s">
        <v>67</v>
      </c>
    </row>
    <row r="129" spans="1:15" x14ac:dyDescent="0.25">
      <c r="A129" s="12" t="s">
        <v>251</v>
      </c>
      <c r="B129" s="12" t="s">
        <v>96</v>
      </c>
      <c r="C129" s="12" t="s">
        <v>136</v>
      </c>
      <c r="D129" s="12">
        <v>2</v>
      </c>
      <c r="E129" s="12">
        <v>1</v>
      </c>
      <c r="F129" s="12">
        <v>2</v>
      </c>
      <c r="G129" s="13">
        <v>0.7</v>
      </c>
      <c r="H129" s="12">
        <v>1</v>
      </c>
      <c r="I129" s="12">
        <v>1</v>
      </c>
      <c r="J129" s="12">
        <v>1</v>
      </c>
      <c r="K129" s="12" t="s">
        <v>73</v>
      </c>
      <c r="L129" s="12" t="s">
        <v>84</v>
      </c>
      <c r="M129" s="14">
        <v>46063</v>
      </c>
      <c r="N129" s="14">
        <v>46577</v>
      </c>
      <c r="O129" s="12" t="s">
        <v>67</v>
      </c>
    </row>
    <row r="130" spans="1:15" x14ac:dyDescent="0.25">
      <c r="A130" s="12" t="s">
        <v>252</v>
      </c>
      <c r="B130" s="12" t="s">
        <v>76</v>
      </c>
      <c r="C130" s="12" t="s">
        <v>118</v>
      </c>
      <c r="D130" s="12">
        <v>4</v>
      </c>
      <c r="E130" s="12">
        <v>2</v>
      </c>
      <c r="F130" s="12">
        <v>8</v>
      </c>
      <c r="G130" s="13">
        <v>0.45</v>
      </c>
      <c r="H130" s="12">
        <v>2.2000000000000002</v>
      </c>
      <c r="I130" s="12">
        <v>1.1000000000000001</v>
      </c>
      <c r="J130" s="12">
        <v>2.4</v>
      </c>
      <c r="K130" s="12" t="s">
        <v>55</v>
      </c>
      <c r="L130" s="12" t="s">
        <v>84</v>
      </c>
      <c r="M130" s="14">
        <v>45882</v>
      </c>
      <c r="N130" s="14">
        <v>46500</v>
      </c>
      <c r="O130" s="12" t="s">
        <v>67</v>
      </c>
    </row>
    <row r="131" spans="1:15" x14ac:dyDescent="0.25">
      <c r="A131" s="12" t="s">
        <v>253</v>
      </c>
      <c r="B131" s="12" t="s">
        <v>141</v>
      </c>
      <c r="C131" s="12" t="s">
        <v>254</v>
      </c>
      <c r="D131" s="12">
        <v>3</v>
      </c>
      <c r="E131" s="12">
        <v>5</v>
      </c>
      <c r="F131" s="12">
        <v>15</v>
      </c>
      <c r="G131" s="13">
        <v>0.53</v>
      </c>
      <c r="H131" s="12">
        <v>1.4</v>
      </c>
      <c r="I131" s="12">
        <v>2.4</v>
      </c>
      <c r="J131" s="12">
        <v>3.4</v>
      </c>
      <c r="K131" s="12" t="s">
        <v>78</v>
      </c>
      <c r="L131" s="12" t="s">
        <v>56</v>
      </c>
      <c r="M131" s="14">
        <v>46090</v>
      </c>
      <c r="N131" s="14">
        <v>46319</v>
      </c>
      <c r="O131" s="12" t="s">
        <v>67</v>
      </c>
    </row>
    <row r="132" spans="1:15" x14ac:dyDescent="0.25">
      <c r="A132" s="12" t="s">
        <v>255</v>
      </c>
      <c r="B132" s="12" t="s">
        <v>107</v>
      </c>
      <c r="C132" s="12" t="s">
        <v>123</v>
      </c>
      <c r="D132" s="12">
        <v>4</v>
      </c>
      <c r="E132" s="12">
        <v>5</v>
      </c>
      <c r="F132" s="12">
        <v>20</v>
      </c>
      <c r="G132" s="13">
        <v>0.46</v>
      </c>
      <c r="H132" s="12">
        <v>2.2000000000000002</v>
      </c>
      <c r="I132" s="12">
        <v>2.7</v>
      </c>
      <c r="J132" s="12">
        <v>5.9</v>
      </c>
      <c r="K132" s="12" t="s">
        <v>60</v>
      </c>
      <c r="L132" s="12" t="s">
        <v>66</v>
      </c>
      <c r="M132" s="14">
        <v>45976</v>
      </c>
      <c r="N132" s="14">
        <v>46412</v>
      </c>
      <c r="O132" s="12" t="s">
        <v>67</v>
      </c>
    </row>
    <row r="133" spans="1:15" x14ac:dyDescent="0.25">
      <c r="A133" s="12" t="s">
        <v>256</v>
      </c>
      <c r="B133" s="12" t="s">
        <v>96</v>
      </c>
      <c r="C133" s="12" t="s">
        <v>114</v>
      </c>
      <c r="D133" s="12">
        <v>1</v>
      </c>
      <c r="E133" s="12">
        <v>5</v>
      </c>
      <c r="F133" s="12">
        <v>5</v>
      </c>
      <c r="G133" s="13">
        <v>0.61</v>
      </c>
      <c r="H133" s="12">
        <v>1</v>
      </c>
      <c r="I133" s="12">
        <v>2</v>
      </c>
      <c r="J133" s="12">
        <v>2</v>
      </c>
      <c r="K133" s="12" t="s">
        <v>73</v>
      </c>
      <c r="L133" s="12" t="s">
        <v>56</v>
      </c>
      <c r="M133" s="14">
        <v>46105</v>
      </c>
      <c r="N133" s="14">
        <v>46584</v>
      </c>
      <c r="O133" s="12" t="s">
        <v>67</v>
      </c>
    </row>
    <row r="134" spans="1:15" x14ac:dyDescent="0.25">
      <c r="A134" s="12" t="s">
        <v>257</v>
      </c>
      <c r="B134" s="12" t="s">
        <v>82</v>
      </c>
      <c r="C134" s="12" t="s">
        <v>258</v>
      </c>
      <c r="D134" s="12">
        <v>2</v>
      </c>
      <c r="E134" s="12">
        <v>4</v>
      </c>
      <c r="F134" s="12">
        <v>8</v>
      </c>
      <c r="G134" s="13">
        <v>0.92</v>
      </c>
      <c r="H134" s="12">
        <v>1</v>
      </c>
      <c r="I134" s="12">
        <v>1</v>
      </c>
      <c r="J134" s="12">
        <v>1</v>
      </c>
      <c r="K134" s="12" t="s">
        <v>60</v>
      </c>
      <c r="L134" s="12" t="s">
        <v>84</v>
      </c>
      <c r="M134" s="14">
        <v>46005</v>
      </c>
      <c r="N134" s="14">
        <v>46557</v>
      </c>
      <c r="O134" s="12" t="s">
        <v>67</v>
      </c>
    </row>
    <row r="135" spans="1:15" x14ac:dyDescent="0.25">
      <c r="A135" s="12" t="s">
        <v>259</v>
      </c>
      <c r="B135" s="12" t="s">
        <v>53</v>
      </c>
      <c r="C135" s="12" t="s">
        <v>114</v>
      </c>
      <c r="D135" s="12">
        <v>3</v>
      </c>
      <c r="E135" s="12">
        <v>5</v>
      </c>
      <c r="F135" s="12">
        <v>15</v>
      </c>
      <c r="G135" s="13">
        <v>0.32</v>
      </c>
      <c r="H135" s="12">
        <v>2</v>
      </c>
      <c r="I135" s="12">
        <v>3.4</v>
      </c>
      <c r="J135" s="12">
        <v>6.8</v>
      </c>
      <c r="K135" s="12" t="s">
        <v>65</v>
      </c>
      <c r="L135" s="12" t="s">
        <v>56</v>
      </c>
      <c r="M135" s="14">
        <v>46033</v>
      </c>
      <c r="N135" s="14">
        <v>46259</v>
      </c>
      <c r="O135" s="12" t="s">
        <v>67</v>
      </c>
    </row>
    <row r="136" spans="1:15" x14ac:dyDescent="0.25">
      <c r="A136" s="12" t="s">
        <v>260</v>
      </c>
      <c r="B136" s="12" t="s">
        <v>122</v>
      </c>
      <c r="C136" s="12" t="s">
        <v>186</v>
      </c>
      <c r="D136" s="12">
        <v>5</v>
      </c>
      <c r="E136" s="12">
        <v>1</v>
      </c>
      <c r="F136" s="12">
        <v>5</v>
      </c>
      <c r="G136" s="13">
        <v>0.73</v>
      </c>
      <c r="H136" s="12">
        <v>1.4</v>
      </c>
      <c r="I136" s="12">
        <v>1</v>
      </c>
      <c r="J136" s="12">
        <v>1.4</v>
      </c>
      <c r="K136" s="12" t="s">
        <v>98</v>
      </c>
      <c r="L136" s="12" t="s">
        <v>74</v>
      </c>
      <c r="M136" s="14">
        <v>46091</v>
      </c>
      <c r="N136" s="14">
        <v>46412</v>
      </c>
      <c r="O136" s="12" t="s">
        <v>67</v>
      </c>
    </row>
    <row r="137" spans="1:15" x14ac:dyDescent="0.25">
      <c r="A137" s="12" t="s">
        <v>261</v>
      </c>
      <c r="B137" s="12" t="s">
        <v>63</v>
      </c>
      <c r="C137" s="12" t="s">
        <v>215</v>
      </c>
      <c r="D137" s="12">
        <v>5</v>
      </c>
      <c r="E137" s="12">
        <v>4</v>
      </c>
      <c r="F137" s="12">
        <v>20</v>
      </c>
      <c r="G137" s="13">
        <v>0.38</v>
      </c>
      <c r="H137" s="12">
        <v>3.1</v>
      </c>
      <c r="I137" s="12">
        <v>2.5</v>
      </c>
      <c r="J137" s="12">
        <v>7.8</v>
      </c>
      <c r="K137" s="12" t="s">
        <v>60</v>
      </c>
      <c r="L137" s="12" t="s">
        <v>84</v>
      </c>
      <c r="M137" s="14">
        <v>46052</v>
      </c>
      <c r="N137" s="14">
        <v>46477</v>
      </c>
      <c r="O137" s="12" t="s">
        <v>67</v>
      </c>
    </row>
    <row r="138" spans="1:15" x14ac:dyDescent="0.25">
      <c r="A138" s="12" t="s">
        <v>262</v>
      </c>
      <c r="B138" s="12" t="s">
        <v>122</v>
      </c>
      <c r="C138" s="12" t="s">
        <v>97</v>
      </c>
      <c r="D138" s="12">
        <v>5</v>
      </c>
      <c r="E138" s="12">
        <v>2</v>
      </c>
      <c r="F138" s="12">
        <v>10</v>
      </c>
      <c r="G138" s="13">
        <v>0.92</v>
      </c>
      <c r="H138" s="12">
        <v>1</v>
      </c>
      <c r="I138" s="12">
        <v>1</v>
      </c>
      <c r="J138" s="12">
        <v>1</v>
      </c>
      <c r="K138" s="12" t="s">
        <v>98</v>
      </c>
      <c r="L138" s="12" t="s">
        <v>66</v>
      </c>
      <c r="M138" s="14">
        <v>46127</v>
      </c>
      <c r="N138" s="14">
        <v>46506</v>
      </c>
      <c r="O138" s="12" t="s">
        <v>67</v>
      </c>
    </row>
    <row r="139" spans="1:15" x14ac:dyDescent="0.25">
      <c r="A139" s="12" t="s">
        <v>263</v>
      </c>
      <c r="B139" s="12" t="s">
        <v>96</v>
      </c>
      <c r="C139" s="12" t="s">
        <v>182</v>
      </c>
      <c r="D139" s="12">
        <v>2</v>
      </c>
      <c r="E139" s="12">
        <v>5</v>
      </c>
      <c r="F139" s="12">
        <v>10</v>
      </c>
      <c r="G139" s="13">
        <v>0.89</v>
      </c>
      <c r="H139" s="12">
        <v>1</v>
      </c>
      <c r="I139" s="12">
        <v>1</v>
      </c>
      <c r="J139" s="12">
        <v>1</v>
      </c>
      <c r="K139" s="12" t="s">
        <v>159</v>
      </c>
      <c r="L139" s="12" t="s">
        <v>66</v>
      </c>
      <c r="M139" s="14">
        <v>46162</v>
      </c>
      <c r="N139" s="14">
        <v>46577</v>
      </c>
      <c r="O139" s="12" t="s">
        <v>67</v>
      </c>
    </row>
    <row r="140" spans="1:15" x14ac:dyDescent="0.25">
      <c r="A140" s="12" t="s">
        <v>264</v>
      </c>
      <c r="B140" s="12" t="s">
        <v>107</v>
      </c>
      <c r="C140" s="12" t="s">
        <v>97</v>
      </c>
      <c r="D140" s="12">
        <v>2</v>
      </c>
      <c r="E140" s="12">
        <v>4</v>
      </c>
      <c r="F140" s="12">
        <v>8</v>
      </c>
      <c r="G140" s="13">
        <v>0.5</v>
      </c>
      <c r="H140" s="12">
        <v>1</v>
      </c>
      <c r="I140" s="12">
        <v>2</v>
      </c>
      <c r="J140" s="12">
        <v>2</v>
      </c>
      <c r="K140" s="12" t="s">
        <v>125</v>
      </c>
      <c r="L140" s="12" t="s">
        <v>56</v>
      </c>
      <c r="M140" s="14">
        <v>45972</v>
      </c>
      <c r="N140" s="14">
        <v>46300</v>
      </c>
      <c r="O140" s="12" t="s">
        <v>67</v>
      </c>
    </row>
    <row r="141" spans="1:15" x14ac:dyDescent="0.25">
      <c r="A141" s="12" t="s">
        <v>265</v>
      </c>
      <c r="B141" s="12" t="s">
        <v>122</v>
      </c>
      <c r="C141" s="12" t="s">
        <v>182</v>
      </c>
      <c r="D141" s="12">
        <v>1</v>
      </c>
      <c r="E141" s="12">
        <v>5</v>
      </c>
      <c r="F141" s="12">
        <v>5</v>
      </c>
      <c r="G141" s="13">
        <v>0.34</v>
      </c>
      <c r="H141" s="12">
        <v>1</v>
      </c>
      <c r="I141" s="12">
        <v>3.3</v>
      </c>
      <c r="J141" s="12">
        <v>3.3</v>
      </c>
      <c r="K141" s="12" t="s">
        <v>60</v>
      </c>
      <c r="L141" s="12" t="s">
        <v>56</v>
      </c>
      <c r="M141" s="14">
        <v>46132</v>
      </c>
      <c r="N141" s="14">
        <v>46326</v>
      </c>
      <c r="O141" s="12" t="s">
        <v>67</v>
      </c>
    </row>
    <row r="142" spans="1:15" x14ac:dyDescent="0.25">
      <c r="A142" s="12" t="s">
        <v>266</v>
      </c>
      <c r="B142" s="12" t="s">
        <v>53</v>
      </c>
      <c r="C142" s="12" t="s">
        <v>148</v>
      </c>
      <c r="D142" s="12">
        <v>2</v>
      </c>
      <c r="E142" s="12">
        <v>1</v>
      </c>
      <c r="F142" s="12">
        <v>2</v>
      </c>
      <c r="G142" s="13">
        <v>0.66</v>
      </c>
      <c r="H142" s="12">
        <v>1</v>
      </c>
      <c r="I142" s="12">
        <v>1</v>
      </c>
      <c r="J142" s="12">
        <v>1</v>
      </c>
      <c r="K142" s="12" t="s">
        <v>91</v>
      </c>
      <c r="L142" s="12" t="s">
        <v>84</v>
      </c>
      <c r="M142" s="14">
        <v>45919</v>
      </c>
      <c r="N142" s="14">
        <v>46477</v>
      </c>
      <c r="O142" s="12" t="s">
        <v>67</v>
      </c>
    </row>
    <row r="143" spans="1:15" x14ac:dyDescent="0.25">
      <c r="A143" s="12" t="s">
        <v>267</v>
      </c>
      <c r="B143" s="12" t="s">
        <v>141</v>
      </c>
      <c r="C143" s="12" t="s">
        <v>161</v>
      </c>
      <c r="D143" s="12">
        <v>2</v>
      </c>
      <c r="E143" s="12">
        <v>1</v>
      </c>
      <c r="F143" s="12">
        <v>2</v>
      </c>
      <c r="G143" s="13">
        <v>0.4</v>
      </c>
      <c r="H143" s="12">
        <v>1.2</v>
      </c>
      <c r="I143" s="12">
        <v>1</v>
      </c>
      <c r="J143" s="12">
        <v>1.2</v>
      </c>
      <c r="K143" s="12" t="s">
        <v>55</v>
      </c>
      <c r="L143" s="12" t="s">
        <v>74</v>
      </c>
      <c r="M143" s="14">
        <v>45920</v>
      </c>
      <c r="N143" s="14">
        <v>46262</v>
      </c>
      <c r="O143" s="12" t="s">
        <v>67</v>
      </c>
    </row>
    <row r="144" spans="1:15" x14ac:dyDescent="0.25">
      <c r="A144" s="12" t="s">
        <v>268</v>
      </c>
      <c r="B144" s="12" t="s">
        <v>53</v>
      </c>
      <c r="C144" s="12" t="s">
        <v>70</v>
      </c>
      <c r="D144" s="12">
        <v>5</v>
      </c>
      <c r="E144" s="12">
        <v>1</v>
      </c>
      <c r="F144" s="12">
        <v>5</v>
      </c>
      <c r="G144" s="13">
        <v>0.68</v>
      </c>
      <c r="H144" s="12">
        <v>1.6</v>
      </c>
      <c r="I144" s="12">
        <v>1</v>
      </c>
      <c r="J144" s="12">
        <v>1.6</v>
      </c>
      <c r="K144" s="12" t="s">
        <v>112</v>
      </c>
      <c r="L144" s="12" t="s">
        <v>66</v>
      </c>
      <c r="M144" s="14">
        <v>46069</v>
      </c>
      <c r="N144" s="14">
        <v>46536</v>
      </c>
      <c r="O144" s="12" t="s">
        <v>67</v>
      </c>
    </row>
    <row r="145" spans="1:15" x14ac:dyDescent="0.25">
      <c r="A145" s="12" t="s">
        <v>269</v>
      </c>
      <c r="B145" s="12" t="s">
        <v>96</v>
      </c>
      <c r="C145" s="12" t="s">
        <v>123</v>
      </c>
      <c r="D145" s="12">
        <v>3</v>
      </c>
      <c r="E145" s="12">
        <v>3</v>
      </c>
      <c r="F145" s="12">
        <v>9</v>
      </c>
      <c r="G145" s="13">
        <v>0.84</v>
      </c>
      <c r="H145" s="12">
        <v>1</v>
      </c>
      <c r="I145" s="12">
        <v>1</v>
      </c>
      <c r="J145" s="12">
        <v>1</v>
      </c>
      <c r="K145" s="12" t="s">
        <v>60</v>
      </c>
      <c r="L145" s="12" t="s">
        <v>66</v>
      </c>
      <c r="M145" s="14">
        <v>46180</v>
      </c>
      <c r="N145" s="14">
        <v>46478</v>
      </c>
      <c r="O145" s="12" t="s">
        <v>67</v>
      </c>
    </row>
    <row r="146" spans="1:15" x14ac:dyDescent="0.25">
      <c r="A146" s="12" t="s">
        <v>270</v>
      </c>
      <c r="B146" s="12" t="s">
        <v>69</v>
      </c>
      <c r="C146" s="12" t="s">
        <v>179</v>
      </c>
      <c r="D146" s="12">
        <v>3</v>
      </c>
      <c r="E146" s="12">
        <v>5</v>
      </c>
      <c r="F146" s="12">
        <v>15</v>
      </c>
      <c r="G146" s="13">
        <v>0.89</v>
      </c>
      <c r="H146" s="12">
        <v>1</v>
      </c>
      <c r="I146" s="12">
        <v>1</v>
      </c>
      <c r="J146" s="12">
        <v>1</v>
      </c>
      <c r="K146" s="12" t="s">
        <v>73</v>
      </c>
      <c r="L146" s="12" t="s">
        <v>84</v>
      </c>
      <c r="M146" s="14">
        <v>46131</v>
      </c>
      <c r="N146" s="14">
        <v>46550</v>
      </c>
      <c r="O146" s="12" t="s">
        <v>67</v>
      </c>
    </row>
    <row r="147" spans="1:15" x14ac:dyDescent="0.25">
      <c r="A147" s="12" t="s">
        <v>271</v>
      </c>
      <c r="B147" s="12" t="s">
        <v>53</v>
      </c>
      <c r="C147" s="12" t="s">
        <v>205</v>
      </c>
      <c r="D147" s="12">
        <v>1</v>
      </c>
      <c r="E147" s="12">
        <v>4</v>
      </c>
      <c r="F147" s="12">
        <v>4</v>
      </c>
      <c r="G147" s="13">
        <v>0.28000000000000003</v>
      </c>
      <c r="H147" s="12">
        <v>1</v>
      </c>
      <c r="I147" s="12">
        <v>2.9</v>
      </c>
      <c r="J147" s="12">
        <v>2.9</v>
      </c>
      <c r="K147" s="12" t="s">
        <v>78</v>
      </c>
      <c r="L147" s="12" t="s">
        <v>56</v>
      </c>
      <c r="M147" s="14">
        <v>46200</v>
      </c>
      <c r="N147" s="14">
        <v>46464</v>
      </c>
      <c r="O147" s="12" t="s">
        <v>67</v>
      </c>
    </row>
    <row r="148" spans="1:15" x14ac:dyDescent="0.25">
      <c r="A148" s="12" t="s">
        <v>272</v>
      </c>
      <c r="B148" s="12" t="s">
        <v>89</v>
      </c>
      <c r="C148" s="12" t="s">
        <v>161</v>
      </c>
      <c r="D148" s="12">
        <v>5</v>
      </c>
      <c r="E148" s="12">
        <v>5</v>
      </c>
      <c r="F148" s="12">
        <v>25</v>
      </c>
      <c r="G148" s="13">
        <v>0.37</v>
      </c>
      <c r="H148" s="12">
        <v>3.2</v>
      </c>
      <c r="I148" s="12">
        <v>3.2</v>
      </c>
      <c r="J148" s="12">
        <v>10.199999999999999</v>
      </c>
      <c r="K148" s="12" t="s">
        <v>125</v>
      </c>
      <c r="L148" s="12" t="s">
        <v>84</v>
      </c>
      <c r="M148" s="14">
        <v>45936</v>
      </c>
      <c r="N148" s="14">
        <v>46349</v>
      </c>
      <c r="O148" s="12" t="s">
        <v>67</v>
      </c>
    </row>
    <row r="149" spans="1:15" x14ac:dyDescent="0.25">
      <c r="A149" s="12" t="s">
        <v>273</v>
      </c>
      <c r="B149" s="12" t="s">
        <v>96</v>
      </c>
      <c r="C149" s="12" t="s">
        <v>152</v>
      </c>
      <c r="D149" s="12">
        <v>2</v>
      </c>
      <c r="E149" s="12">
        <v>3</v>
      </c>
      <c r="F149" s="12">
        <v>6</v>
      </c>
      <c r="G149" s="13">
        <v>0.5</v>
      </c>
      <c r="H149" s="12">
        <v>1</v>
      </c>
      <c r="I149" s="12">
        <v>1.5</v>
      </c>
      <c r="J149" s="12">
        <v>1.5</v>
      </c>
      <c r="K149" s="12" t="s">
        <v>65</v>
      </c>
      <c r="L149" s="12" t="s">
        <v>66</v>
      </c>
      <c r="M149" s="14">
        <v>46017</v>
      </c>
      <c r="N149" s="14">
        <v>46515</v>
      </c>
      <c r="O149" s="12" t="s">
        <v>67</v>
      </c>
    </row>
    <row r="150" spans="1:15" x14ac:dyDescent="0.25">
      <c r="A150" s="12" t="s">
        <v>274</v>
      </c>
      <c r="B150" s="12" t="s">
        <v>82</v>
      </c>
      <c r="C150" s="12" t="s">
        <v>70</v>
      </c>
      <c r="D150" s="12">
        <v>5</v>
      </c>
      <c r="E150" s="12">
        <v>2</v>
      </c>
      <c r="F150" s="12">
        <v>10</v>
      </c>
      <c r="G150" s="13">
        <v>0.32</v>
      </c>
      <c r="H150" s="12">
        <v>3.4</v>
      </c>
      <c r="I150" s="12">
        <v>1.4</v>
      </c>
      <c r="J150" s="12">
        <v>4.8</v>
      </c>
      <c r="K150" s="12" t="s">
        <v>91</v>
      </c>
      <c r="L150" s="12" t="s">
        <v>84</v>
      </c>
      <c r="M150" s="14">
        <v>46167</v>
      </c>
      <c r="N150" s="14">
        <v>46424</v>
      </c>
      <c r="O150" s="12" t="s">
        <v>67</v>
      </c>
    </row>
    <row r="151" spans="1:15" x14ac:dyDescent="0.25">
      <c r="A151" s="12" t="s">
        <v>275</v>
      </c>
      <c r="B151" s="12" t="s">
        <v>63</v>
      </c>
      <c r="C151" s="12" t="s">
        <v>205</v>
      </c>
      <c r="D151" s="12">
        <v>2</v>
      </c>
      <c r="E151" s="12">
        <v>4</v>
      </c>
      <c r="F151" s="12">
        <v>8</v>
      </c>
      <c r="G151" s="13">
        <v>0.38</v>
      </c>
      <c r="H151" s="12">
        <v>1.2</v>
      </c>
      <c r="I151" s="12">
        <v>2.5</v>
      </c>
      <c r="J151" s="12">
        <v>3</v>
      </c>
      <c r="K151" s="12" t="s">
        <v>78</v>
      </c>
      <c r="L151" s="12" t="s">
        <v>56</v>
      </c>
      <c r="M151" s="14">
        <v>46214</v>
      </c>
      <c r="N151" s="14">
        <v>46577</v>
      </c>
      <c r="O151" s="12" t="s">
        <v>67</v>
      </c>
    </row>
    <row r="152" spans="1:15" x14ac:dyDescent="0.25">
      <c r="A152" s="12" t="s">
        <v>276</v>
      </c>
      <c r="B152" s="12" t="s">
        <v>107</v>
      </c>
      <c r="C152" s="12" t="s">
        <v>241</v>
      </c>
      <c r="D152" s="12">
        <v>5</v>
      </c>
      <c r="E152" s="12">
        <v>2</v>
      </c>
      <c r="F152" s="12">
        <v>10</v>
      </c>
      <c r="G152" s="13">
        <v>0.49</v>
      </c>
      <c r="H152" s="12">
        <v>2.6</v>
      </c>
      <c r="I152" s="12">
        <v>1</v>
      </c>
      <c r="J152" s="12">
        <v>2.6</v>
      </c>
      <c r="K152" s="12" t="s">
        <v>125</v>
      </c>
      <c r="L152" s="12" t="s">
        <v>66</v>
      </c>
      <c r="M152" s="14">
        <v>46138</v>
      </c>
      <c r="N152" s="14">
        <v>46551</v>
      </c>
      <c r="O152" s="12" t="s">
        <v>67</v>
      </c>
    </row>
    <row r="153" spans="1:15" x14ac:dyDescent="0.25">
      <c r="A153" s="12" t="s">
        <v>277</v>
      </c>
      <c r="B153" s="12" t="s">
        <v>53</v>
      </c>
      <c r="C153" s="12" t="s">
        <v>90</v>
      </c>
      <c r="D153" s="12">
        <v>1</v>
      </c>
      <c r="E153" s="12">
        <v>1</v>
      </c>
      <c r="F153" s="12">
        <v>1</v>
      </c>
      <c r="G153" s="13">
        <v>0.39</v>
      </c>
      <c r="H153" s="12">
        <v>1</v>
      </c>
      <c r="I153" s="12">
        <v>1</v>
      </c>
      <c r="J153" s="12">
        <v>1</v>
      </c>
      <c r="K153" s="12" t="s">
        <v>55</v>
      </c>
      <c r="L153" s="12" t="s">
        <v>74</v>
      </c>
      <c r="M153" s="14">
        <v>46112</v>
      </c>
      <c r="N153" s="14">
        <v>46492</v>
      </c>
      <c r="O153" s="12" t="s">
        <v>67</v>
      </c>
    </row>
    <row r="154" spans="1:15" x14ac:dyDescent="0.25">
      <c r="A154" s="12" t="s">
        <v>278</v>
      </c>
      <c r="B154" s="12" t="s">
        <v>107</v>
      </c>
      <c r="C154" s="12" t="s">
        <v>258</v>
      </c>
      <c r="D154" s="12">
        <v>1</v>
      </c>
      <c r="E154" s="12">
        <v>2</v>
      </c>
      <c r="F154" s="12">
        <v>2</v>
      </c>
      <c r="G154" s="13">
        <v>0.57999999999999996</v>
      </c>
      <c r="H154" s="12">
        <v>1</v>
      </c>
      <c r="I154" s="12">
        <v>1</v>
      </c>
      <c r="J154" s="12">
        <v>1</v>
      </c>
      <c r="K154" s="12" t="s">
        <v>55</v>
      </c>
      <c r="L154" s="12" t="s">
        <v>74</v>
      </c>
      <c r="M154" s="14">
        <v>45953</v>
      </c>
      <c r="N154" s="14">
        <v>46259</v>
      </c>
      <c r="O154" s="12" t="s">
        <v>67</v>
      </c>
    </row>
    <row r="155" spans="1:15" x14ac:dyDescent="0.25">
      <c r="A155" s="12" t="s">
        <v>279</v>
      </c>
      <c r="B155" s="12" t="s">
        <v>69</v>
      </c>
      <c r="C155" s="12" t="s">
        <v>120</v>
      </c>
      <c r="D155" s="12">
        <v>4</v>
      </c>
      <c r="E155" s="12">
        <v>3</v>
      </c>
      <c r="F155" s="12">
        <v>12</v>
      </c>
      <c r="G155" s="13">
        <v>0.81</v>
      </c>
      <c r="H155" s="12">
        <v>1</v>
      </c>
      <c r="I155" s="12">
        <v>1</v>
      </c>
      <c r="J155" s="12">
        <v>1</v>
      </c>
      <c r="K155" s="12" t="s">
        <v>60</v>
      </c>
      <c r="L155" s="12" t="s">
        <v>84</v>
      </c>
      <c r="M155" s="14">
        <v>46113</v>
      </c>
      <c r="N155" s="14">
        <v>46258</v>
      </c>
      <c r="O155" s="12" t="s">
        <v>67</v>
      </c>
    </row>
    <row r="156" spans="1:15" x14ac:dyDescent="0.25">
      <c r="A156" s="12" t="s">
        <v>280</v>
      </c>
      <c r="B156" s="12" t="s">
        <v>107</v>
      </c>
      <c r="C156" s="12" t="s">
        <v>94</v>
      </c>
      <c r="D156" s="12">
        <v>1</v>
      </c>
      <c r="E156" s="12">
        <v>5</v>
      </c>
      <c r="F156" s="12">
        <v>5</v>
      </c>
      <c r="G156" s="13">
        <v>0.33</v>
      </c>
      <c r="H156" s="12">
        <v>1</v>
      </c>
      <c r="I156" s="12">
        <v>3.4</v>
      </c>
      <c r="J156" s="12">
        <v>3.4</v>
      </c>
      <c r="K156" s="12" t="s">
        <v>60</v>
      </c>
      <c r="L156" s="12" t="s">
        <v>66</v>
      </c>
      <c r="M156" s="14">
        <v>46061</v>
      </c>
      <c r="N156" s="14">
        <v>46593</v>
      </c>
      <c r="O156" s="12" t="s">
        <v>67</v>
      </c>
    </row>
    <row r="157" spans="1:15" x14ac:dyDescent="0.25">
      <c r="A157" s="12" t="s">
        <v>281</v>
      </c>
      <c r="B157" s="12" t="s">
        <v>141</v>
      </c>
      <c r="C157" s="12" t="s">
        <v>152</v>
      </c>
      <c r="D157" s="12">
        <v>4</v>
      </c>
      <c r="E157" s="12">
        <v>2</v>
      </c>
      <c r="F157" s="12">
        <v>8</v>
      </c>
      <c r="G157" s="13">
        <v>0.33</v>
      </c>
      <c r="H157" s="12">
        <v>2.7</v>
      </c>
      <c r="I157" s="12">
        <v>1.3</v>
      </c>
      <c r="J157" s="12">
        <v>3.5</v>
      </c>
      <c r="K157" s="12" t="s">
        <v>60</v>
      </c>
      <c r="L157" s="12" t="s">
        <v>56</v>
      </c>
      <c r="M157" s="14">
        <v>45949</v>
      </c>
      <c r="N157" s="14">
        <v>46440</v>
      </c>
      <c r="O157" s="12" t="s">
        <v>67</v>
      </c>
    </row>
    <row r="158" spans="1:15" x14ac:dyDescent="0.25">
      <c r="A158" s="12" t="s">
        <v>282</v>
      </c>
      <c r="B158" s="12" t="s">
        <v>82</v>
      </c>
      <c r="C158" s="12" t="s">
        <v>70</v>
      </c>
      <c r="D158" s="12">
        <v>4</v>
      </c>
      <c r="E158" s="12">
        <v>2</v>
      </c>
      <c r="F158" s="12">
        <v>8</v>
      </c>
      <c r="G158" s="13">
        <v>0.76</v>
      </c>
      <c r="H158" s="12">
        <v>1</v>
      </c>
      <c r="I158" s="12">
        <v>1</v>
      </c>
      <c r="J158" s="12">
        <v>1</v>
      </c>
      <c r="K158" s="12" t="s">
        <v>98</v>
      </c>
      <c r="L158" s="12" t="s">
        <v>56</v>
      </c>
      <c r="M158" s="14">
        <v>45881</v>
      </c>
      <c r="N158" s="14">
        <v>46531</v>
      </c>
      <c r="O158" s="12" t="s">
        <v>67</v>
      </c>
    </row>
    <row r="159" spans="1:15" x14ac:dyDescent="0.25">
      <c r="A159" s="12" t="s">
        <v>283</v>
      </c>
      <c r="B159" s="12" t="s">
        <v>69</v>
      </c>
      <c r="C159" s="12" t="s">
        <v>123</v>
      </c>
      <c r="D159" s="12">
        <v>3</v>
      </c>
      <c r="E159" s="12">
        <v>1</v>
      </c>
      <c r="F159" s="12">
        <v>3</v>
      </c>
      <c r="G159" s="13">
        <v>0.73</v>
      </c>
      <c r="H159" s="12">
        <v>1</v>
      </c>
      <c r="I159" s="12">
        <v>1</v>
      </c>
      <c r="J159" s="12">
        <v>1</v>
      </c>
      <c r="K159" s="12" t="s">
        <v>65</v>
      </c>
      <c r="L159" s="12" t="s">
        <v>56</v>
      </c>
      <c r="M159" s="14">
        <v>46228</v>
      </c>
      <c r="N159" s="14">
        <v>46426</v>
      </c>
      <c r="O159" s="12" t="s">
        <v>67</v>
      </c>
    </row>
    <row r="160" spans="1:15" x14ac:dyDescent="0.25">
      <c r="A160" s="12" t="s">
        <v>284</v>
      </c>
      <c r="B160" s="12" t="s">
        <v>69</v>
      </c>
      <c r="C160" s="12" t="s">
        <v>220</v>
      </c>
      <c r="D160" s="12">
        <v>2</v>
      </c>
      <c r="E160" s="12">
        <v>2</v>
      </c>
      <c r="F160" s="12">
        <v>4</v>
      </c>
      <c r="G160" s="13">
        <v>0.69</v>
      </c>
      <c r="H160" s="12">
        <v>1</v>
      </c>
      <c r="I160" s="12">
        <v>1</v>
      </c>
      <c r="J160" s="12">
        <v>1</v>
      </c>
      <c r="K160" s="12" t="s">
        <v>159</v>
      </c>
      <c r="L160" s="12" t="s">
        <v>61</v>
      </c>
      <c r="M160" s="14">
        <v>45999</v>
      </c>
      <c r="N160" s="14">
        <v>46472</v>
      </c>
      <c r="O160" s="12" t="s">
        <v>67</v>
      </c>
    </row>
    <row r="161" spans="1:15" x14ac:dyDescent="0.25">
      <c r="A161" s="12" t="s">
        <v>285</v>
      </c>
      <c r="B161" s="12" t="s">
        <v>76</v>
      </c>
      <c r="C161" s="12" t="s">
        <v>120</v>
      </c>
      <c r="D161" s="12">
        <v>5</v>
      </c>
      <c r="E161" s="12">
        <v>4</v>
      </c>
      <c r="F161" s="12">
        <v>20</v>
      </c>
      <c r="G161" s="13">
        <v>0.96</v>
      </c>
      <c r="H161" s="12">
        <v>1</v>
      </c>
      <c r="I161" s="12">
        <v>1</v>
      </c>
      <c r="J161" s="12">
        <v>1</v>
      </c>
      <c r="K161" s="12" t="s">
        <v>78</v>
      </c>
      <c r="L161" s="12" t="s">
        <v>84</v>
      </c>
      <c r="M161" s="14">
        <v>45966</v>
      </c>
      <c r="N161" s="14">
        <v>46325</v>
      </c>
      <c r="O161" s="12" t="s">
        <v>67</v>
      </c>
    </row>
    <row r="162" spans="1:15" x14ac:dyDescent="0.25">
      <c r="A162" s="12" t="s">
        <v>286</v>
      </c>
      <c r="B162" s="12" t="s">
        <v>63</v>
      </c>
      <c r="C162" s="12" t="s">
        <v>175</v>
      </c>
      <c r="D162" s="12">
        <v>5</v>
      </c>
      <c r="E162" s="12">
        <v>5</v>
      </c>
      <c r="F162" s="12">
        <v>25</v>
      </c>
      <c r="G162" s="13">
        <v>0.35</v>
      </c>
      <c r="H162" s="12">
        <v>3.2</v>
      </c>
      <c r="I162" s="12">
        <v>3.2</v>
      </c>
      <c r="J162" s="12">
        <v>10.199999999999999</v>
      </c>
      <c r="K162" s="12" t="s">
        <v>98</v>
      </c>
      <c r="L162" s="12" t="s">
        <v>74</v>
      </c>
      <c r="M162" s="14">
        <v>45942</v>
      </c>
      <c r="N162" s="14">
        <v>46499</v>
      </c>
      <c r="O162" s="12" t="s">
        <v>67</v>
      </c>
    </row>
    <row r="163" spans="1:15" x14ac:dyDescent="0.25">
      <c r="A163" s="12" t="s">
        <v>287</v>
      </c>
      <c r="B163" s="12" t="s">
        <v>63</v>
      </c>
      <c r="C163" s="12" t="s">
        <v>254</v>
      </c>
      <c r="D163" s="12">
        <v>5</v>
      </c>
      <c r="E163" s="12">
        <v>1</v>
      </c>
      <c r="F163" s="12">
        <v>5</v>
      </c>
      <c r="G163" s="13">
        <v>0.6</v>
      </c>
      <c r="H163" s="12">
        <v>2</v>
      </c>
      <c r="I163" s="12">
        <v>1</v>
      </c>
      <c r="J163" s="12">
        <v>2</v>
      </c>
      <c r="K163" s="12" t="s">
        <v>159</v>
      </c>
      <c r="L163" s="12" t="s">
        <v>61</v>
      </c>
      <c r="M163" s="14">
        <v>46218</v>
      </c>
      <c r="N163" s="14">
        <v>46359</v>
      </c>
      <c r="O163" s="12" t="s">
        <v>67</v>
      </c>
    </row>
    <row r="164" spans="1:15" x14ac:dyDescent="0.25">
      <c r="A164" s="12" t="s">
        <v>288</v>
      </c>
      <c r="B164" s="12" t="s">
        <v>53</v>
      </c>
      <c r="C164" s="12" t="s">
        <v>123</v>
      </c>
      <c r="D164" s="12">
        <v>2</v>
      </c>
      <c r="E164" s="12">
        <v>1</v>
      </c>
      <c r="F164" s="12">
        <v>2</v>
      </c>
      <c r="G164" s="13">
        <v>0.87</v>
      </c>
      <c r="H164" s="12">
        <v>1</v>
      </c>
      <c r="I164" s="12">
        <v>1</v>
      </c>
      <c r="J164" s="12">
        <v>1</v>
      </c>
      <c r="K164" s="12" t="s">
        <v>125</v>
      </c>
      <c r="L164" s="12" t="s">
        <v>61</v>
      </c>
      <c r="M164" s="14">
        <v>45875</v>
      </c>
      <c r="N164" s="14">
        <v>46524</v>
      </c>
      <c r="O164" s="12" t="s">
        <v>67</v>
      </c>
    </row>
    <row r="165" spans="1:15" x14ac:dyDescent="0.25">
      <c r="A165" s="12" t="s">
        <v>289</v>
      </c>
      <c r="B165" s="12" t="s">
        <v>141</v>
      </c>
      <c r="C165" s="12" t="s">
        <v>120</v>
      </c>
      <c r="D165" s="12">
        <v>2</v>
      </c>
      <c r="E165" s="12">
        <v>1</v>
      </c>
      <c r="F165" s="12">
        <v>2</v>
      </c>
      <c r="G165" s="13">
        <v>0.47</v>
      </c>
      <c r="H165" s="12">
        <v>1.1000000000000001</v>
      </c>
      <c r="I165" s="12">
        <v>1</v>
      </c>
      <c r="J165" s="12">
        <v>1.1000000000000001</v>
      </c>
      <c r="K165" s="12" t="s">
        <v>65</v>
      </c>
      <c r="L165" s="12" t="s">
        <v>61</v>
      </c>
      <c r="M165" s="14">
        <v>46111</v>
      </c>
      <c r="N165" s="14">
        <v>46467</v>
      </c>
      <c r="O165" s="12" t="s">
        <v>67</v>
      </c>
    </row>
    <row r="166" spans="1:15" x14ac:dyDescent="0.25">
      <c r="A166" s="12" t="s">
        <v>290</v>
      </c>
      <c r="B166" s="12" t="s">
        <v>141</v>
      </c>
      <c r="C166" s="12" t="s">
        <v>139</v>
      </c>
      <c r="D166" s="12">
        <v>3</v>
      </c>
      <c r="E166" s="12">
        <v>3</v>
      </c>
      <c r="F166" s="12">
        <v>9</v>
      </c>
      <c r="G166" s="13">
        <v>0.7</v>
      </c>
      <c r="H166" s="12">
        <v>1</v>
      </c>
      <c r="I166" s="12">
        <v>1</v>
      </c>
      <c r="J166" s="12">
        <v>1</v>
      </c>
      <c r="K166" s="12" t="s">
        <v>60</v>
      </c>
      <c r="L166" s="12" t="s">
        <v>56</v>
      </c>
      <c r="M166" s="14">
        <v>46218</v>
      </c>
      <c r="N166" s="14">
        <v>46433</v>
      </c>
      <c r="O166" s="12" t="s">
        <v>67</v>
      </c>
    </row>
    <row r="167" spans="1:15" x14ac:dyDescent="0.25">
      <c r="A167" s="12" t="s">
        <v>291</v>
      </c>
      <c r="B167" s="12" t="s">
        <v>122</v>
      </c>
      <c r="C167" s="12" t="s">
        <v>171</v>
      </c>
      <c r="D167" s="12">
        <v>1</v>
      </c>
      <c r="E167" s="12">
        <v>3</v>
      </c>
      <c r="F167" s="12">
        <v>3</v>
      </c>
      <c r="G167" s="13">
        <v>0.56000000000000005</v>
      </c>
      <c r="H167" s="12">
        <v>1</v>
      </c>
      <c r="I167" s="12">
        <v>1.3</v>
      </c>
      <c r="J167" s="12">
        <v>1.3</v>
      </c>
      <c r="K167" s="12" t="s">
        <v>159</v>
      </c>
      <c r="L167" s="12" t="s">
        <v>74</v>
      </c>
      <c r="M167" s="14">
        <v>45957</v>
      </c>
      <c r="N167" s="14">
        <v>46337</v>
      </c>
      <c r="O167" s="12" t="s">
        <v>67</v>
      </c>
    </row>
    <row r="168" spans="1:15" x14ac:dyDescent="0.25">
      <c r="A168" s="12" t="s">
        <v>292</v>
      </c>
      <c r="B168" s="12" t="s">
        <v>96</v>
      </c>
      <c r="C168" s="12" t="s">
        <v>139</v>
      </c>
      <c r="D168" s="12">
        <v>2</v>
      </c>
      <c r="E168" s="12">
        <v>5</v>
      </c>
      <c r="F168" s="12">
        <v>10</v>
      </c>
      <c r="G168" s="13">
        <v>0.61</v>
      </c>
      <c r="H168" s="12">
        <v>1</v>
      </c>
      <c r="I168" s="12">
        <v>2</v>
      </c>
      <c r="J168" s="12">
        <v>2</v>
      </c>
      <c r="K168" s="12" t="s">
        <v>112</v>
      </c>
      <c r="L168" s="12" t="s">
        <v>61</v>
      </c>
      <c r="M168" s="14">
        <v>46054</v>
      </c>
      <c r="N168" s="14">
        <v>46592</v>
      </c>
      <c r="O168" s="12" t="s">
        <v>67</v>
      </c>
    </row>
    <row r="169" spans="1:15" x14ac:dyDescent="0.25">
      <c r="A169" s="12" t="s">
        <v>293</v>
      </c>
      <c r="B169" s="12" t="s">
        <v>122</v>
      </c>
      <c r="C169" s="12" t="s">
        <v>156</v>
      </c>
      <c r="D169" s="12">
        <v>5</v>
      </c>
      <c r="E169" s="12">
        <v>2</v>
      </c>
      <c r="F169" s="12">
        <v>10</v>
      </c>
      <c r="G169" s="13">
        <v>0.36</v>
      </c>
      <c r="H169" s="12">
        <v>3.2</v>
      </c>
      <c r="I169" s="12">
        <v>1.3</v>
      </c>
      <c r="J169" s="12">
        <v>4.2</v>
      </c>
      <c r="K169" s="12" t="s">
        <v>73</v>
      </c>
      <c r="L169" s="12" t="s">
        <v>66</v>
      </c>
      <c r="M169" s="14">
        <v>46129</v>
      </c>
      <c r="N169" s="14">
        <v>46585</v>
      </c>
      <c r="O169" s="12" t="s">
        <v>67</v>
      </c>
    </row>
    <row r="170" spans="1:15" x14ac:dyDescent="0.25">
      <c r="A170" s="12" t="s">
        <v>294</v>
      </c>
      <c r="B170" s="12" t="s">
        <v>76</v>
      </c>
      <c r="C170" s="12" t="s">
        <v>94</v>
      </c>
      <c r="D170" s="12">
        <v>1</v>
      </c>
      <c r="E170" s="12">
        <v>5</v>
      </c>
      <c r="F170" s="12">
        <v>5</v>
      </c>
      <c r="G170" s="13">
        <v>0.24</v>
      </c>
      <c r="H170" s="12">
        <v>1</v>
      </c>
      <c r="I170" s="12">
        <v>3.8</v>
      </c>
      <c r="J170" s="12">
        <v>3.8</v>
      </c>
      <c r="K170" s="12" t="s">
        <v>65</v>
      </c>
      <c r="L170" s="12" t="s">
        <v>66</v>
      </c>
      <c r="M170" s="14">
        <v>46192</v>
      </c>
      <c r="N170" s="14">
        <v>46269</v>
      </c>
      <c r="O170" s="12" t="s">
        <v>67</v>
      </c>
    </row>
    <row r="171" spans="1:15" x14ac:dyDescent="0.25">
      <c r="A171" s="12" t="s">
        <v>295</v>
      </c>
      <c r="B171" s="12" t="s">
        <v>82</v>
      </c>
      <c r="C171" s="12" t="s">
        <v>59</v>
      </c>
      <c r="D171" s="12">
        <v>5</v>
      </c>
      <c r="E171" s="12">
        <v>5</v>
      </c>
      <c r="F171" s="12">
        <v>25</v>
      </c>
      <c r="G171" s="13">
        <v>0.66</v>
      </c>
      <c r="H171" s="12">
        <v>1.7</v>
      </c>
      <c r="I171" s="12">
        <v>1.7</v>
      </c>
      <c r="J171" s="12">
        <v>2.9</v>
      </c>
      <c r="K171" s="12" t="s">
        <v>73</v>
      </c>
      <c r="L171" s="12" t="s">
        <v>84</v>
      </c>
      <c r="M171" s="14">
        <v>45959</v>
      </c>
      <c r="N171" s="14">
        <v>46374</v>
      </c>
      <c r="O171" s="12" t="s">
        <v>67</v>
      </c>
    </row>
    <row r="172" spans="1:15" x14ac:dyDescent="0.25">
      <c r="A172" s="12" t="s">
        <v>296</v>
      </c>
      <c r="B172" s="12" t="s">
        <v>89</v>
      </c>
      <c r="C172" s="12" t="s">
        <v>215</v>
      </c>
      <c r="D172" s="12">
        <v>4</v>
      </c>
      <c r="E172" s="12">
        <v>2</v>
      </c>
      <c r="F172" s="12">
        <v>8</v>
      </c>
      <c r="G172" s="13">
        <v>0.68</v>
      </c>
      <c r="H172" s="12">
        <v>1.3</v>
      </c>
      <c r="I172" s="12">
        <v>1</v>
      </c>
      <c r="J172" s="12">
        <v>1.3</v>
      </c>
      <c r="K172" s="12" t="s">
        <v>159</v>
      </c>
      <c r="L172" s="12" t="s">
        <v>74</v>
      </c>
      <c r="M172" s="14">
        <v>45879</v>
      </c>
      <c r="N172" s="14">
        <v>46369</v>
      </c>
      <c r="O172" s="12" t="s">
        <v>67</v>
      </c>
    </row>
    <row r="173" spans="1:15" x14ac:dyDescent="0.25">
      <c r="A173" s="12" t="s">
        <v>297</v>
      </c>
      <c r="B173" s="12" t="s">
        <v>69</v>
      </c>
      <c r="C173" s="12" t="s">
        <v>195</v>
      </c>
      <c r="D173" s="12">
        <v>4</v>
      </c>
      <c r="E173" s="12">
        <v>4</v>
      </c>
      <c r="F173" s="12">
        <v>16</v>
      </c>
      <c r="G173" s="13">
        <v>0.9</v>
      </c>
      <c r="H173" s="12">
        <v>1</v>
      </c>
      <c r="I173" s="12">
        <v>1</v>
      </c>
      <c r="J173" s="12">
        <v>1</v>
      </c>
      <c r="K173" s="12" t="s">
        <v>73</v>
      </c>
      <c r="L173" s="12" t="s">
        <v>74</v>
      </c>
      <c r="M173" s="14">
        <v>46132</v>
      </c>
      <c r="N173" s="14">
        <v>46398</v>
      </c>
      <c r="O173" s="12" t="s">
        <v>67</v>
      </c>
    </row>
    <row r="174" spans="1:15" x14ac:dyDescent="0.25">
      <c r="A174" s="12" t="s">
        <v>298</v>
      </c>
      <c r="B174" s="12" t="s">
        <v>89</v>
      </c>
      <c r="C174" s="12" t="s">
        <v>123</v>
      </c>
      <c r="D174" s="12">
        <v>1</v>
      </c>
      <c r="E174" s="12">
        <v>5</v>
      </c>
      <c r="F174" s="12">
        <v>5</v>
      </c>
      <c r="G174" s="13">
        <v>0.4</v>
      </c>
      <c r="H174" s="12">
        <v>1</v>
      </c>
      <c r="I174" s="12">
        <v>3</v>
      </c>
      <c r="J174" s="12">
        <v>3</v>
      </c>
      <c r="K174" s="12" t="s">
        <v>159</v>
      </c>
      <c r="L174" s="12" t="s">
        <v>74</v>
      </c>
      <c r="M174" s="14">
        <v>46159</v>
      </c>
      <c r="N174" s="14">
        <v>46548</v>
      </c>
      <c r="O174" s="12" t="s">
        <v>67</v>
      </c>
    </row>
    <row r="175" spans="1:15" x14ac:dyDescent="0.25">
      <c r="A175" s="12" t="s">
        <v>299</v>
      </c>
      <c r="B175" s="12" t="s">
        <v>107</v>
      </c>
      <c r="C175" s="12" t="s">
        <v>258</v>
      </c>
      <c r="D175" s="12">
        <v>1</v>
      </c>
      <c r="E175" s="12">
        <v>3</v>
      </c>
      <c r="F175" s="12">
        <v>3</v>
      </c>
      <c r="G175" s="13">
        <v>0.46</v>
      </c>
      <c r="H175" s="12">
        <v>1</v>
      </c>
      <c r="I175" s="12">
        <v>1.6</v>
      </c>
      <c r="J175" s="12">
        <v>1.6</v>
      </c>
      <c r="K175" s="12" t="s">
        <v>78</v>
      </c>
      <c r="L175" s="12" t="s">
        <v>56</v>
      </c>
      <c r="M175" s="14">
        <v>45890</v>
      </c>
      <c r="N175" s="14">
        <v>46500</v>
      </c>
      <c r="O175" s="12" t="s">
        <v>67</v>
      </c>
    </row>
    <row r="176" spans="1:15" x14ac:dyDescent="0.25">
      <c r="A176" s="12" t="s">
        <v>300</v>
      </c>
      <c r="B176" s="12" t="s">
        <v>122</v>
      </c>
      <c r="C176" s="12" t="s">
        <v>129</v>
      </c>
      <c r="D176" s="12">
        <v>2</v>
      </c>
      <c r="E176" s="12">
        <v>3</v>
      </c>
      <c r="F176" s="12">
        <v>6</v>
      </c>
      <c r="G176" s="13">
        <v>0.4</v>
      </c>
      <c r="H176" s="12">
        <v>1.2</v>
      </c>
      <c r="I176" s="12">
        <v>1.8</v>
      </c>
      <c r="J176" s="12">
        <v>2.2000000000000002</v>
      </c>
      <c r="K176" s="12" t="s">
        <v>65</v>
      </c>
      <c r="L176" s="12" t="s">
        <v>74</v>
      </c>
      <c r="M176" s="14">
        <v>46128</v>
      </c>
      <c r="N176" s="14">
        <v>46571</v>
      </c>
      <c r="O176" s="12" t="s">
        <v>67</v>
      </c>
    </row>
    <row r="177" spans="1:15" x14ac:dyDescent="0.25">
      <c r="A177" s="12" t="s">
        <v>301</v>
      </c>
      <c r="B177" s="12" t="s">
        <v>53</v>
      </c>
      <c r="C177" s="12" t="s">
        <v>102</v>
      </c>
      <c r="D177" s="12">
        <v>3</v>
      </c>
      <c r="E177" s="12">
        <v>2</v>
      </c>
      <c r="F177" s="12">
        <v>6</v>
      </c>
      <c r="G177" s="13">
        <v>0.84</v>
      </c>
      <c r="H177" s="12">
        <v>1</v>
      </c>
      <c r="I177" s="12">
        <v>1</v>
      </c>
      <c r="J177" s="12">
        <v>1</v>
      </c>
      <c r="K177" s="12" t="s">
        <v>55</v>
      </c>
      <c r="L177" s="12" t="s">
        <v>84</v>
      </c>
      <c r="M177" s="14">
        <v>45975</v>
      </c>
      <c r="N177" s="14">
        <v>46313</v>
      </c>
      <c r="O177" s="12" t="s">
        <v>67</v>
      </c>
    </row>
    <row r="178" spans="1:15" x14ac:dyDescent="0.25">
      <c r="A178" s="12" t="s">
        <v>302</v>
      </c>
      <c r="B178" s="12" t="s">
        <v>82</v>
      </c>
      <c r="C178" s="12" t="s">
        <v>152</v>
      </c>
      <c r="D178" s="12">
        <v>2</v>
      </c>
      <c r="E178" s="12">
        <v>2</v>
      </c>
      <c r="F178" s="12">
        <v>4</v>
      </c>
      <c r="G178" s="13">
        <v>0.42</v>
      </c>
      <c r="H178" s="12">
        <v>1.2</v>
      </c>
      <c r="I178" s="12">
        <v>1.2</v>
      </c>
      <c r="J178" s="12">
        <v>1.4</v>
      </c>
      <c r="K178" s="12" t="s">
        <v>60</v>
      </c>
      <c r="L178" s="12" t="s">
        <v>66</v>
      </c>
      <c r="M178" s="14">
        <v>45989</v>
      </c>
      <c r="N178" s="14">
        <v>46536</v>
      </c>
      <c r="O178" s="12" t="s">
        <v>67</v>
      </c>
    </row>
    <row r="179" spans="1:15" x14ac:dyDescent="0.25">
      <c r="A179" s="12" t="s">
        <v>303</v>
      </c>
      <c r="B179" s="12" t="s">
        <v>141</v>
      </c>
      <c r="C179" s="12" t="s">
        <v>114</v>
      </c>
      <c r="D179" s="12">
        <v>5</v>
      </c>
      <c r="E179" s="12">
        <v>3</v>
      </c>
      <c r="F179" s="12">
        <v>15</v>
      </c>
      <c r="G179" s="13">
        <v>0.46</v>
      </c>
      <c r="H179" s="12">
        <v>2.7</v>
      </c>
      <c r="I179" s="12">
        <v>1.6</v>
      </c>
      <c r="J179" s="12">
        <v>4.3</v>
      </c>
      <c r="K179" s="12" t="s">
        <v>55</v>
      </c>
      <c r="L179" s="12" t="s">
        <v>66</v>
      </c>
      <c r="M179" s="14">
        <v>45911</v>
      </c>
      <c r="N179" s="14">
        <v>46395</v>
      </c>
      <c r="O179" s="12" t="s">
        <v>67</v>
      </c>
    </row>
    <row r="180" spans="1:15" x14ac:dyDescent="0.25">
      <c r="A180" s="12" t="s">
        <v>304</v>
      </c>
      <c r="B180" s="12" t="s">
        <v>89</v>
      </c>
      <c r="C180" s="12" t="s">
        <v>215</v>
      </c>
      <c r="D180" s="12">
        <v>1</v>
      </c>
      <c r="E180" s="12">
        <v>4</v>
      </c>
      <c r="F180" s="12">
        <v>4</v>
      </c>
      <c r="G180" s="13">
        <v>0.25</v>
      </c>
      <c r="H180" s="12">
        <v>1</v>
      </c>
      <c r="I180" s="12">
        <v>3</v>
      </c>
      <c r="J180" s="12">
        <v>3</v>
      </c>
      <c r="K180" s="12" t="s">
        <v>60</v>
      </c>
      <c r="L180" s="12" t="s">
        <v>74</v>
      </c>
      <c r="M180" s="14">
        <v>45907</v>
      </c>
      <c r="N180" s="14">
        <v>46544</v>
      </c>
      <c r="O180" s="12" t="s">
        <v>67</v>
      </c>
    </row>
    <row r="181" spans="1:15" x14ac:dyDescent="0.25">
      <c r="A181" s="12" t="s">
        <v>305</v>
      </c>
      <c r="B181" s="12" t="s">
        <v>63</v>
      </c>
      <c r="C181" s="12" t="s">
        <v>205</v>
      </c>
      <c r="D181" s="12">
        <v>5</v>
      </c>
      <c r="E181" s="12">
        <v>2</v>
      </c>
      <c r="F181" s="12">
        <v>10</v>
      </c>
      <c r="G181" s="13">
        <v>0.56000000000000005</v>
      </c>
      <c r="H181" s="12">
        <v>2.2000000000000002</v>
      </c>
      <c r="I181" s="12">
        <v>1</v>
      </c>
      <c r="J181" s="12">
        <v>2.2000000000000002</v>
      </c>
      <c r="K181" s="12" t="s">
        <v>112</v>
      </c>
      <c r="L181" s="12" t="s">
        <v>74</v>
      </c>
      <c r="M181" s="14">
        <v>46002</v>
      </c>
      <c r="N181" s="14">
        <v>46383</v>
      </c>
      <c r="O181" s="12" t="s">
        <v>67</v>
      </c>
    </row>
    <row r="182" spans="1:15" x14ac:dyDescent="0.25">
      <c r="A182" s="12" t="s">
        <v>306</v>
      </c>
      <c r="B182" s="12" t="s">
        <v>76</v>
      </c>
      <c r="C182" s="12" t="s">
        <v>241</v>
      </c>
      <c r="D182" s="12">
        <v>1</v>
      </c>
      <c r="E182" s="12">
        <v>1</v>
      </c>
      <c r="F182" s="12">
        <v>1</v>
      </c>
      <c r="G182" s="13">
        <v>0.44</v>
      </c>
      <c r="H182" s="12">
        <v>1</v>
      </c>
      <c r="I182" s="12">
        <v>1</v>
      </c>
      <c r="J182" s="12">
        <v>1</v>
      </c>
      <c r="K182" s="12" t="s">
        <v>78</v>
      </c>
      <c r="L182" s="12" t="s">
        <v>66</v>
      </c>
      <c r="M182" s="14">
        <v>45984</v>
      </c>
      <c r="N182" s="14">
        <v>46433</v>
      </c>
      <c r="O182" s="12" t="s">
        <v>67</v>
      </c>
    </row>
    <row r="183" spans="1:15" x14ac:dyDescent="0.25">
      <c r="A183" s="12" t="s">
        <v>307</v>
      </c>
      <c r="B183" s="12" t="s">
        <v>107</v>
      </c>
      <c r="C183" s="12" t="s">
        <v>131</v>
      </c>
      <c r="D183" s="12">
        <v>3</v>
      </c>
      <c r="E183" s="12">
        <v>3</v>
      </c>
      <c r="F183" s="12">
        <v>9</v>
      </c>
      <c r="G183" s="13">
        <v>0.49</v>
      </c>
      <c r="H183" s="12">
        <v>1.5</v>
      </c>
      <c r="I183" s="12">
        <v>1.5</v>
      </c>
      <c r="J183" s="12">
        <v>2.2000000000000002</v>
      </c>
      <c r="K183" s="12" t="s">
        <v>78</v>
      </c>
      <c r="L183" s="12" t="s">
        <v>74</v>
      </c>
      <c r="M183" s="14">
        <v>46100</v>
      </c>
      <c r="N183" s="14">
        <v>46588</v>
      </c>
      <c r="O183" s="12" t="s">
        <v>67</v>
      </c>
    </row>
    <row r="184" spans="1:15" x14ac:dyDescent="0.25">
      <c r="A184" s="12" t="s">
        <v>308</v>
      </c>
      <c r="B184" s="12" t="s">
        <v>107</v>
      </c>
      <c r="C184" s="12" t="s">
        <v>70</v>
      </c>
      <c r="D184" s="12">
        <v>2</v>
      </c>
      <c r="E184" s="12">
        <v>4</v>
      </c>
      <c r="F184" s="12">
        <v>8</v>
      </c>
      <c r="G184" s="13">
        <v>0.62</v>
      </c>
      <c r="H184" s="12">
        <v>1</v>
      </c>
      <c r="I184" s="12">
        <v>1.5</v>
      </c>
      <c r="J184" s="12">
        <v>1.5</v>
      </c>
      <c r="K184" s="12" t="s">
        <v>65</v>
      </c>
      <c r="L184" s="12" t="s">
        <v>74</v>
      </c>
      <c r="M184" s="14">
        <v>46019</v>
      </c>
      <c r="N184" s="14">
        <v>46348</v>
      </c>
      <c r="O184" s="12" t="s">
        <v>67</v>
      </c>
    </row>
    <row r="185" spans="1:15" x14ac:dyDescent="0.25">
      <c r="A185" s="12" t="s">
        <v>309</v>
      </c>
      <c r="B185" s="12" t="s">
        <v>76</v>
      </c>
      <c r="C185" s="12" t="s">
        <v>104</v>
      </c>
      <c r="D185" s="12">
        <v>5</v>
      </c>
      <c r="E185" s="12">
        <v>3</v>
      </c>
      <c r="F185" s="12">
        <v>15</v>
      </c>
      <c r="G185" s="13">
        <v>0.56000000000000005</v>
      </c>
      <c r="H185" s="12">
        <v>2.2000000000000002</v>
      </c>
      <c r="I185" s="12">
        <v>1.3</v>
      </c>
      <c r="J185" s="12">
        <v>2.9</v>
      </c>
      <c r="K185" s="12" t="s">
        <v>55</v>
      </c>
      <c r="L185" s="12" t="s">
        <v>61</v>
      </c>
      <c r="M185" s="14">
        <v>45879</v>
      </c>
      <c r="N185" s="14">
        <v>46448</v>
      </c>
      <c r="O185" s="12" t="s">
        <v>67</v>
      </c>
    </row>
    <row r="186" spans="1:15" x14ac:dyDescent="0.25">
      <c r="A186" s="12" t="s">
        <v>310</v>
      </c>
      <c r="B186" s="12" t="s">
        <v>107</v>
      </c>
      <c r="C186" s="12" t="s">
        <v>90</v>
      </c>
      <c r="D186" s="12">
        <v>2</v>
      </c>
      <c r="E186" s="12">
        <v>5</v>
      </c>
      <c r="F186" s="12">
        <v>10</v>
      </c>
      <c r="G186" s="13">
        <v>0.77</v>
      </c>
      <c r="H186" s="12">
        <v>1</v>
      </c>
      <c r="I186" s="12">
        <v>1.2</v>
      </c>
      <c r="J186" s="12">
        <v>1.2</v>
      </c>
      <c r="K186" s="12" t="s">
        <v>91</v>
      </c>
      <c r="L186" s="12" t="s">
        <v>74</v>
      </c>
      <c r="M186" s="14">
        <v>46191</v>
      </c>
      <c r="N186" s="14">
        <v>46404</v>
      </c>
      <c r="O186" s="12" t="s">
        <v>67</v>
      </c>
    </row>
    <row r="187" spans="1:15" x14ac:dyDescent="0.25">
      <c r="A187" s="12" t="s">
        <v>311</v>
      </c>
      <c r="B187" s="12" t="s">
        <v>76</v>
      </c>
      <c r="C187" s="12" t="s">
        <v>312</v>
      </c>
      <c r="D187" s="12">
        <v>3</v>
      </c>
      <c r="E187" s="12">
        <v>5</v>
      </c>
      <c r="F187" s="12">
        <v>15</v>
      </c>
      <c r="G187" s="13">
        <v>0.75</v>
      </c>
      <c r="H187" s="12">
        <v>1</v>
      </c>
      <c r="I187" s="12">
        <v>1.2</v>
      </c>
      <c r="J187" s="12">
        <v>1.2</v>
      </c>
      <c r="K187" s="12" t="s">
        <v>55</v>
      </c>
      <c r="L187" s="12" t="s">
        <v>56</v>
      </c>
      <c r="M187" s="14">
        <v>46148</v>
      </c>
      <c r="N187" s="14">
        <v>46450</v>
      </c>
      <c r="O187" s="12" t="s">
        <v>67</v>
      </c>
    </row>
    <row r="188" spans="1:15" x14ac:dyDescent="0.25">
      <c r="A188" s="12" t="s">
        <v>313</v>
      </c>
      <c r="B188" s="12" t="s">
        <v>63</v>
      </c>
      <c r="C188" s="12" t="s">
        <v>158</v>
      </c>
      <c r="D188" s="12">
        <v>1</v>
      </c>
      <c r="E188" s="12">
        <v>4</v>
      </c>
      <c r="F188" s="12">
        <v>4</v>
      </c>
      <c r="G188" s="13">
        <v>0.73</v>
      </c>
      <c r="H188" s="12">
        <v>1</v>
      </c>
      <c r="I188" s="12">
        <v>1.1000000000000001</v>
      </c>
      <c r="J188" s="12">
        <v>1.1000000000000001</v>
      </c>
      <c r="K188" s="12" t="s">
        <v>159</v>
      </c>
      <c r="L188" s="12" t="s">
        <v>74</v>
      </c>
      <c r="M188" s="14">
        <v>46039</v>
      </c>
      <c r="N188" s="14">
        <v>46375</v>
      </c>
      <c r="O188" s="12" t="s">
        <v>67</v>
      </c>
    </row>
    <row r="189" spans="1:15" x14ac:dyDescent="0.25">
      <c r="A189" s="12" t="s">
        <v>314</v>
      </c>
      <c r="B189" s="12" t="s">
        <v>141</v>
      </c>
      <c r="C189" s="12" t="s">
        <v>136</v>
      </c>
      <c r="D189" s="12">
        <v>5</v>
      </c>
      <c r="E189" s="12">
        <v>4</v>
      </c>
      <c r="F189" s="12">
        <v>20</v>
      </c>
      <c r="G189" s="13">
        <v>0.97</v>
      </c>
      <c r="H189" s="12">
        <v>1</v>
      </c>
      <c r="I189" s="12">
        <v>1</v>
      </c>
      <c r="J189" s="12">
        <v>1</v>
      </c>
      <c r="K189" s="12" t="s">
        <v>112</v>
      </c>
      <c r="L189" s="12" t="s">
        <v>84</v>
      </c>
      <c r="M189" s="14">
        <v>45887</v>
      </c>
      <c r="N189" s="14">
        <v>46372</v>
      </c>
      <c r="O189" s="12" t="s">
        <v>67</v>
      </c>
    </row>
    <row r="190" spans="1:15" x14ac:dyDescent="0.25">
      <c r="A190" s="12" t="s">
        <v>315</v>
      </c>
      <c r="B190" s="12" t="s">
        <v>63</v>
      </c>
      <c r="C190" s="12" t="s">
        <v>80</v>
      </c>
      <c r="D190" s="12">
        <v>4</v>
      </c>
      <c r="E190" s="12">
        <v>3</v>
      </c>
      <c r="F190" s="12">
        <v>12</v>
      </c>
      <c r="G190" s="13">
        <v>0.5</v>
      </c>
      <c r="H190" s="12">
        <v>2</v>
      </c>
      <c r="I190" s="12">
        <v>1.5</v>
      </c>
      <c r="J190" s="12">
        <v>3</v>
      </c>
      <c r="K190" s="12" t="s">
        <v>125</v>
      </c>
      <c r="L190" s="12" t="s">
        <v>66</v>
      </c>
      <c r="M190" s="14">
        <v>45986</v>
      </c>
      <c r="N190" s="14">
        <v>46423</v>
      </c>
      <c r="O190" s="12" t="s">
        <v>67</v>
      </c>
    </row>
    <row r="191" spans="1:15" x14ac:dyDescent="0.25">
      <c r="A191" s="12" t="s">
        <v>316</v>
      </c>
      <c r="B191" s="12" t="s">
        <v>122</v>
      </c>
      <c r="C191" s="12" t="s">
        <v>94</v>
      </c>
      <c r="D191" s="12">
        <v>5</v>
      </c>
      <c r="E191" s="12">
        <v>2</v>
      </c>
      <c r="F191" s="12">
        <v>10</v>
      </c>
      <c r="G191" s="13">
        <v>0.56999999999999995</v>
      </c>
      <c r="H191" s="12">
        <v>2.2000000000000002</v>
      </c>
      <c r="I191" s="12">
        <v>1</v>
      </c>
      <c r="J191" s="12">
        <v>2.2000000000000002</v>
      </c>
      <c r="K191" s="12" t="s">
        <v>159</v>
      </c>
      <c r="L191" s="12" t="s">
        <v>74</v>
      </c>
      <c r="M191" s="14">
        <v>46062</v>
      </c>
      <c r="N191" s="14">
        <v>46301</v>
      </c>
      <c r="O191" s="12" t="s">
        <v>67</v>
      </c>
    </row>
    <row r="192" spans="1:15" x14ac:dyDescent="0.25">
      <c r="A192" s="12" t="s">
        <v>317</v>
      </c>
      <c r="B192" s="12" t="s">
        <v>89</v>
      </c>
      <c r="C192" s="12" t="s">
        <v>134</v>
      </c>
      <c r="D192" s="12">
        <v>3</v>
      </c>
      <c r="E192" s="12">
        <v>4</v>
      </c>
      <c r="F192" s="12">
        <v>12</v>
      </c>
      <c r="G192" s="13">
        <v>0.24</v>
      </c>
      <c r="H192" s="12">
        <v>2.2999999999999998</v>
      </c>
      <c r="I192" s="12">
        <v>3</v>
      </c>
      <c r="J192" s="12">
        <v>6.9</v>
      </c>
      <c r="K192" s="12" t="s">
        <v>65</v>
      </c>
      <c r="L192" s="12" t="s">
        <v>66</v>
      </c>
      <c r="M192" s="14">
        <v>46043</v>
      </c>
      <c r="N192" s="14">
        <v>46325</v>
      </c>
      <c r="O192" s="12" t="s">
        <v>67</v>
      </c>
    </row>
    <row r="193" spans="1:15" x14ac:dyDescent="0.25">
      <c r="A193" s="12" t="s">
        <v>318</v>
      </c>
      <c r="B193" s="12" t="s">
        <v>69</v>
      </c>
      <c r="C193" s="12" t="s">
        <v>114</v>
      </c>
      <c r="D193" s="12">
        <v>4</v>
      </c>
      <c r="E193" s="12">
        <v>5</v>
      </c>
      <c r="F193" s="12">
        <v>20</v>
      </c>
      <c r="G193" s="13">
        <v>0.47</v>
      </c>
      <c r="H193" s="12">
        <v>2.1</v>
      </c>
      <c r="I193" s="12">
        <v>2.6</v>
      </c>
      <c r="J193" s="12">
        <v>5.5</v>
      </c>
      <c r="K193" s="12" t="s">
        <v>98</v>
      </c>
      <c r="L193" s="12" t="s">
        <v>61</v>
      </c>
      <c r="M193" s="14">
        <v>45936</v>
      </c>
      <c r="N193" s="14">
        <v>46363</v>
      </c>
      <c r="O193" s="12" t="s">
        <v>67</v>
      </c>
    </row>
    <row r="194" spans="1:15" x14ac:dyDescent="0.25">
      <c r="A194" s="12" t="s">
        <v>319</v>
      </c>
      <c r="B194" s="12" t="s">
        <v>89</v>
      </c>
      <c r="C194" s="12" t="s">
        <v>182</v>
      </c>
      <c r="D194" s="12">
        <v>2</v>
      </c>
      <c r="E194" s="12">
        <v>5</v>
      </c>
      <c r="F194" s="12">
        <v>10</v>
      </c>
      <c r="G194" s="13">
        <v>0.46</v>
      </c>
      <c r="H194" s="12">
        <v>1.1000000000000001</v>
      </c>
      <c r="I194" s="12">
        <v>2.7</v>
      </c>
      <c r="J194" s="12">
        <v>3</v>
      </c>
      <c r="K194" s="12" t="s">
        <v>55</v>
      </c>
      <c r="L194" s="12" t="s">
        <v>61</v>
      </c>
      <c r="M194" s="14">
        <v>46120</v>
      </c>
      <c r="N194" s="14">
        <v>46577</v>
      </c>
      <c r="O194" s="12" t="s">
        <v>67</v>
      </c>
    </row>
    <row r="195" spans="1:15" x14ac:dyDescent="0.25">
      <c r="A195" s="12" t="s">
        <v>320</v>
      </c>
      <c r="B195" s="12" t="s">
        <v>122</v>
      </c>
      <c r="C195" s="12" t="s">
        <v>102</v>
      </c>
      <c r="D195" s="12">
        <v>1</v>
      </c>
      <c r="E195" s="12">
        <v>2</v>
      </c>
      <c r="F195" s="12">
        <v>2</v>
      </c>
      <c r="G195" s="13">
        <v>0.69</v>
      </c>
      <c r="H195" s="12">
        <v>1</v>
      </c>
      <c r="I195" s="12">
        <v>1</v>
      </c>
      <c r="J195" s="12">
        <v>1</v>
      </c>
      <c r="K195" s="12" t="s">
        <v>73</v>
      </c>
      <c r="L195" s="12" t="s">
        <v>84</v>
      </c>
      <c r="M195" s="14">
        <v>46047</v>
      </c>
      <c r="N195" s="14">
        <v>46322</v>
      </c>
      <c r="O195" s="12" t="s">
        <v>67</v>
      </c>
    </row>
    <row r="196" spans="1:15" x14ac:dyDescent="0.25">
      <c r="A196" s="12" t="s">
        <v>321</v>
      </c>
      <c r="B196" s="12" t="s">
        <v>76</v>
      </c>
      <c r="C196" s="12" t="s">
        <v>120</v>
      </c>
      <c r="D196" s="12">
        <v>1</v>
      </c>
      <c r="E196" s="12">
        <v>1</v>
      </c>
      <c r="F196" s="12">
        <v>1</v>
      </c>
      <c r="G196" s="13">
        <v>0.21</v>
      </c>
      <c r="H196" s="12">
        <v>1</v>
      </c>
      <c r="I196" s="12">
        <v>1</v>
      </c>
      <c r="J196" s="12">
        <v>1</v>
      </c>
      <c r="K196" s="12" t="s">
        <v>91</v>
      </c>
      <c r="L196" s="12" t="s">
        <v>84</v>
      </c>
      <c r="M196" s="14">
        <v>46053</v>
      </c>
      <c r="N196" s="14">
        <v>46472</v>
      </c>
      <c r="O196" s="12" t="s">
        <v>67</v>
      </c>
    </row>
    <row r="197" spans="1:15" x14ac:dyDescent="0.25">
      <c r="A197" s="12" t="s">
        <v>322</v>
      </c>
      <c r="B197" s="12" t="s">
        <v>53</v>
      </c>
      <c r="C197" s="12" t="s">
        <v>90</v>
      </c>
      <c r="D197" s="12">
        <v>2</v>
      </c>
      <c r="E197" s="12">
        <v>4</v>
      </c>
      <c r="F197" s="12">
        <v>8</v>
      </c>
      <c r="G197" s="13">
        <v>1</v>
      </c>
      <c r="H197" s="12">
        <v>1</v>
      </c>
      <c r="I197" s="12">
        <v>1</v>
      </c>
      <c r="J197" s="12">
        <v>1</v>
      </c>
      <c r="K197" s="12" t="s">
        <v>98</v>
      </c>
      <c r="L197" s="12" t="s">
        <v>66</v>
      </c>
      <c r="M197" s="14">
        <v>45947</v>
      </c>
      <c r="N197" s="14">
        <v>46299</v>
      </c>
      <c r="O197" s="12" t="s">
        <v>67</v>
      </c>
    </row>
    <row r="198" spans="1:15" x14ac:dyDescent="0.25">
      <c r="A198" s="12" t="s">
        <v>323</v>
      </c>
      <c r="B198" s="12" t="s">
        <v>76</v>
      </c>
      <c r="C198" s="12" t="s">
        <v>83</v>
      </c>
      <c r="D198" s="12">
        <v>2</v>
      </c>
      <c r="E198" s="12">
        <v>5</v>
      </c>
      <c r="F198" s="12">
        <v>10</v>
      </c>
      <c r="G198" s="13">
        <v>0.57999999999999996</v>
      </c>
      <c r="H198" s="12">
        <v>1</v>
      </c>
      <c r="I198" s="12">
        <v>2.1</v>
      </c>
      <c r="J198" s="12">
        <v>2.1</v>
      </c>
      <c r="K198" s="12" t="s">
        <v>125</v>
      </c>
      <c r="L198" s="12" t="s">
        <v>84</v>
      </c>
      <c r="M198" s="14">
        <v>45931</v>
      </c>
      <c r="N198" s="14">
        <v>46362</v>
      </c>
      <c r="O198" s="12" t="s">
        <v>67</v>
      </c>
    </row>
    <row r="199" spans="1:15" x14ac:dyDescent="0.25">
      <c r="A199" s="12" t="s">
        <v>324</v>
      </c>
      <c r="B199" s="12" t="s">
        <v>76</v>
      </c>
      <c r="C199" s="12" t="s">
        <v>120</v>
      </c>
      <c r="D199" s="12">
        <v>4</v>
      </c>
      <c r="E199" s="12">
        <v>5</v>
      </c>
      <c r="F199" s="12">
        <v>20</v>
      </c>
      <c r="G199" s="13">
        <v>0.85</v>
      </c>
      <c r="H199" s="12">
        <v>1</v>
      </c>
      <c r="I199" s="12">
        <v>1</v>
      </c>
      <c r="J199" s="12">
        <v>1</v>
      </c>
      <c r="K199" s="12" t="s">
        <v>112</v>
      </c>
      <c r="L199" s="12" t="s">
        <v>61</v>
      </c>
      <c r="M199" s="14">
        <v>45928</v>
      </c>
      <c r="N199" s="14">
        <v>46282</v>
      </c>
      <c r="O199" s="12" t="s">
        <v>67</v>
      </c>
    </row>
    <row r="200" spans="1:15" x14ac:dyDescent="0.25">
      <c r="A200" s="12" t="s">
        <v>325</v>
      </c>
      <c r="B200" s="12" t="s">
        <v>122</v>
      </c>
      <c r="C200" s="12" t="s">
        <v>104</v>
      </c>
      <c r="D200" s="12">
        <v>2</v>
      </c>
      <c r="E200" s="12">
        <v>2</v>
      </c>
      <c r="F200" s="12">
        <v>4</v>
      </c>
      <c r="G200" s="13">
        <v>0.25</v>
      </c>
      <c r="H200" s="12">
        <v>1.5</v>
      </c>
      <c r="I200" s="12">
        <v>1.5</v>
      </c>
      <c r="J200" s="12">
        <v>2.2000000000000002</v>
      </c>
      <c r="K200" s="12" t="s">
        <v>65</v>
      </c>
      <c r="L200" s="12" t="s">
        <v>66</v>
      </c>
      <c r="M200" s="14">
        <v>46124</v>
      </c>
      <c r="N200" s="14">
        <v>46454</v>
      </c>
      <c r="O200" s="12" t="s">
        <v>67</v>
      </c>
    </row>
    <row r="201" spans="1:15" x14ac:dyDescent="0.25">
      <c r="A201" s="12" t="s">
        <v>326</v>
      </c>
      <c r="B201" s="12" t="s">
        <v>122</v>
      </c>
      <c r="C201" s="12" t="s">
        <v>254</v>
      </c>
      <c r="D201" s="12">
        <v>1</v>
      </c>
      <c r="E201" s="12">
        <v>3</v>
      </c>
      <c r="F201" s="12">
        <v>3</v>
      </c>
      <c r="G201" s="13">
        <v>0.67</v>
      </c>
      <c r="H201" s="12">
        <v>1</v>
      </c>
      <c r="I201" s="12">
        <v>1</v>
      </c>
      <c r="J201" s="12">
        <v>1</v>
      </c>
      <c r="K201" s="12" t="s">
        <v>65</v>
      </c>
      <c r="L201" s="12" t="s">
        <v>74</v>
      </c>
      <c r="M201" s="14">
        <v>46143</v>
      </c>
      <c r="N201" s="14">
        <v>46597</v>
      </c>
      <c r="O201" s="12" t="s">
        <v>67</v>
      </c>
    </row>
    <row r="202" spans="1:15" x14ac:dyDescent="0.25">
      <c r="A202" s="12" t="s">
        <v>327</v>
      </c>
      <c r="B202" s="12" t="s">
        <v>82</v>
      </c>
      <c r="C202" s="12" t="s">
        <v>254</v>
      </c>
      <c r="D202" s="12">
        <v>5</v>
      </c>
      <c r="E202" s="12">
        <v>3</v>
      </c>
      <c r="F202" s="12">
        <v>15</v>
      </c>
      <c r="G202" s="13">
        <v>0.82</v>
      </c>
      <c r="H202" s="12">
        <v>1</v>
      </c>
      <c r="I202" s="12">
        <v>1</v>
      </c>
      <c r="J202" s="12">
        <v>1</v>
      </c>
      <c r="K202" s="12" t="s">
        <v>91</v>
      </c>
      <c r="L202" s="12" t="s">
        <v>84</v>
      </c>
      <c r="M202" s="14">
        <v>45938</v>
      </c>
      <c r="N202" s="14">
        <v>46262</v>
      </c>
      <c r="O202" s="12" t="s">
        <v>67</v>
      </c>
    </row>
    <row r="203" spans="1:15" x14ac:dyDescent="0.25">
      <c r="A203" s="12" t="s">
        <v>328</v>
      </c>
      <c r="B203" s="12" t="s">
        <v>107</v>
      </c>
      <c r="C203" s="12" t="s">
        <v>59</v>
      </c>
      <c r="D203" s="12">
        <v>2</v>
      </c>
      <c r="E203" s="12">
        <v>2</v>
      </c>
      <c r="F203" s="12">
        <v>4</v>
      </c>
      <c r="G203" s="13">
        <v>0.77</v>
      </c>
      <c r="H203" s="12">
        <v>1</v>
      </c>
      <c r="I203" s="12">
        <v>1</v>
      </c>
      <c r="J203" s="12">
        <v>1</v>
      </c>
      <c r="K203" s="12" t="s">
        <v>112</v>
      </c>
      <c r="L203" s="12" t="s">
        <v>66</v>
      </c>
      <c r="M203" s="14">
        <v>45943</v>
      </c>
      <c r="N203" s="14">
        <v>46462</v>
      </c>
      <c r="O203" s="12" t="s">
        <v>67</v>
      </c>
    </row>
    <row r="204" spans="1:15" x14ac:dyDescent="0.25">
      <c r="A204" s="12" t="s">
        <v>329</v>
      </c>
      <c r="B204" s="12" t="s">
        <v>53</v>
      </c>
      <c r="C204" s="12" t="s">
        <v>156</v>
      </c>
      <c r="D204" s="12">
        <v>2</v>
      </c>
      <c r="E204" s="12">
        <v>2</v>
      </c>
      <c r="F204" s="12">
        <v>4</v>
      </c>
      <c r="G204" s="13">
        <v>0.68</v>
      </c>
      <c r="H204" s="12">
        <v>1</v>
      </c>
      <c r="I204" s="12">
        <v>1</v>
      </c>
      <c r="J204" s="12">
        <v>1</v>
      </c>
      <c r="K204" s="12" t="s">
        <v>60</v>
      </c>
      <c r="L204" s="12" t="s">
        <v>74</v>
      </c>
      <c r="M204" s="14">
        <v>45971</v>
      </c>
      <c r="N204" s="14">
        <v>46356</v>
      </c>
      <c r="O204" s="12" t="s">
        <v>67</v>
      </c>
    </row>
    <row r="205" spans="1:15" x14ac:dyDescent="0.25">
      <c r="A205" s="12" t="s">
        <v>330</v>
      </c>
      <c r="B205" s="12" t="s">
        <v>76</v>
      </c>
      <c r="C205" s="12" t="s">
        <v>248</v>
      </c>
      <c r="D205" s="12">
        <v>1</v>
      </c>
      <c r="E205" s="12">
        <v>2</v>
      </c>
      <c r="F205" s="12">
        <v>2</v>
      </c>
      <c r="G205" s="13">
        <v>0.47</v>
      </c>
      <c r="H205" s="12">
        <v>1</v>
      </c>
      <c r="I205" s="12">
        <v>1.1000000000000001</v>
      </c>
      <c r="J205" s="12">
        <v>1.1000000000000001</v>
      </c>
      <c r="K205" s="12" t="s">
        <v>112</v>
      </c>
      <c r="L205" s="12" t="s">
        <v>74</v>
      </c>
      <c r="M205" s="14">
        <v>46154</v>
      </c>
      <c r="N205" s="14">
        <v>46261</v>
      </c>
      <c r="O205" s="12" t="s">
        <v>67</v>
      </c>
    </row>
    <row r="206" spans="1:15" x14ac:dyDescent="0.25">
      <c r="A206" s="12" t="s">
        <v>331</v>
      </c>
      <c r="B206" s="12" t="s">
        <v>82</v>
      </c>
      <c r="C206" s="12" t="s">
        <v>152</v>
      </c>
      <c r="D206" s="12">
        <v>5</v>
      </c>
      <c r="E206" s="12">
        <v>4</v>
      </c>
      <c r="F206" s="12">
        <v>20</v>
      </c>
      <c r="G206" s="13">
        <v>0.57999999999999996</v>
      </c>
      <c r="H206" s="12">
        <v>2.1</v>
      </c>
      <c r="I206" s="12">
        <v>1.7</v>
      </c>
      <c r="J206" s="12">
        <v>3.6</v>
      </c>
      <c r="K206" s="12" t="s">
        <v>91</v>
      </c>
      <c r="L206" s="12" t="s">
        <v>61</v>
      </c>
      <c r="M206" s="14">
        <v>45966</v>
      </c>
      <c r="N206" s="14">
        <v>46505</v>
      </c>
      <c r="O206" s="12" t="s">
        <v>67</v>
      </c>
    </row>
    <row r="207" spans="1:15" x14ac:dyDescent="0.25">
      <c r="A207" s="12" t="s">
        <v>332</v>
      </c>
      <c r="B207" s="12" t="s">
        <v>76</v>
      </c>
      <c r="C207" s="12" t="s">
        <v>145</v>
      </c>
      <c r="D207" s="12">
        <v>1</v>
      </c>
      <c r="E207" s="12">
        <v>2</v>
      </c>
      <c r="F207" s="12">
        <v>2</v>
      </c>
      <c r="G207" s="13">
        <v>0.59</v>
      </c>
      <c r="H207" s="12">
        <v>1</v>
      </c>
      <c r="I207" s="12">
        <v>1</v>
      </c>
      <c r="J207" s="12">
        <v>1</v>
      </c>
      <c r="K207" s="12" t="s">
        <v>112</v>
      </c>
      <c r="L207" s="12" t="s">
        <v>61</v>
      </c>
      <c r="M207" s="14">
        <v>45984</v>
      </c>
      <c r="N207" s="14">
        <v>46471</v>
      </c>
      <c r="O207" s="12" t="s">
        <v>67</v>
      </c>
    </row>
    <row r="208" spans="1:15" x14ac:dyDescent="0.25">
      <c r="A208" s="12" t="s">
        <v>333</v>
      </c>
      <c r="B208" s="12" t="s">
        <v>96</v>
      </c>
      <c r="C208" s="12" t="s">
        <v>114</v>
      </c>
      <c r="D208" s="12">
        <v>2</v>
      </c>
      <c r="E208" s="12">
        <v>5</v>
      </c>
      <c r="F208" s="12">
        <v>10</v>
      </c>
      <c r="G208" s="13">
        <v>0.87</v>
      </c>
      <c r="H208" s="12">
        <v>1</v>
      </c>
      <c r="I208" s="12">
        <v>1</v>
      </c>
      <c r="J208" s="12">
        <v>1</v>
      </c>
      <c r="K208" s="12" t="s">
        <v>112</v>
      </c>
      <c r="L208" s="12" t="s">
        <v>74</v>
      </c>
      <c r="M208" s="14">
        <v>45972</v>
      </c>
      <c r="N208" s="14">
        <v>46417</v>
      </c>
      <c r="O208" s="12" t="s">
        <v>67</v>
      </c>
    </row>
    <row r="209" spans="1:15" x14ac:dyDescent="0.25">
      <c r="A209" s="12" t="s">
        <v>334</v>
      </c>
      <c r="B209" s="12" t="s">
        <v>82</v>
      </c>
      <c r="C209" s="12" t="s">
        <v>94</v>
      </c>
      <c r="D209" s="12">
        <v>1</v>
      </c>
      <c r="E209" s="12">
        <v>2</v>
      </c>
      <c r="F209" s="12">
        <v>2</v>
      </c>
      <c r="G209" s="13">
        <v>0.82</v>
      </c>
      <c r="H209" s="12">
        <v>1</v>
      </c>
      <c r="I209" s="12">
        <v>1</v>
      </c>
      <c r="J209" s="12">
        <v>1</v>
      </c>
      <c r="K209" s="12" t="s">
        <v>78</v>
      </c>
      <c r="L209" s="12" t="s">
        <v>84</v>
      </c>
      <c r="M209" s="14">
        <v>46219</v>
      </c>
      <c r="N209" s="14">
        <v>46489</v>
      </c>
      <c r="O209" s="12" t="s">
        <v>67</v>
      </c>
    </row>
    <row r="210" spans="1:15" x14ac:dyDescent="0.25">
      <c r="A210" s="12" t="s">
        <v>335</v>
      </c>
      <c r="B210" s="12" t="s">
        <v>141</v>
      </c>
      <c r="C210" s="12" t="s">
        <v>145</v>
      </c>
      <c r="D210" s="12">
        <v>3</v>
      </c>
      <c r="E210" s="12">
        <v>3</v>
      </c>
      <c r="F210" s="12">
        <v>9</v>
      </c>
      <c r="G210" s="13">
        <v>0.84</v>
      </c>
      <c r="H210" s="12">
        <v>1</v>
      </c>
      <c r="I210" s="12">
        <v>1</v>
      </c>
      <c r="J210" s="12">
        <v>1</v>
      </c>
      <c r="K210" s="12" t="s">
        <v>159</v>
      </c>
      <c r="L210" s="12" t="s">
        <v>56</v>
      </c>
      <c r="M210" s="14">
        <v>46096</v>
      </c>
      <c r="N210" s="14">
        <v>46265</v>
      </c>
      <c r="O210" s="12" t="s">
        <v>67</v>
      </c>
    </row>
    <row r="211" spans="1:15" x14ac:dyDescent="0.25">
      <c r="A211" s="12" t="s">
        <v>336</v>
      </c>
      <c r="B211" s="12" t="s">
        <v>89</v>
      </c>
      <c r="C211" s="12" t="s">
        <v>116</v>
      </c>
      <c r="D211" s="12">
        <v>2</v>
      </c>
      <c r="E211" s="12">
        <v>4</v>
      </c>
      <c r="F211" s="12">
        <v>8</v>
      </c>
      <c r="G211" s="13">
        <v>0.68</v>
      </c>
      <c r="H211" s="12">
        <v>1</v>
      </c>
      <c r="I211" s="12">
        <v>1.3</v>
      </c>
      <c r="J211" s="12">
        <v>1.3</v>
      </c>
      <c r="K211" s="12" t="s">
        <v>73</v>
      </c>
      <c r="L211" s="12" t="s">
        <v>66</v>
      </c>
      <c r="M211" s="14">
        <v>46208</v>
      </c>
      <c r="N211" s="14">
        <v>46346</v>
      </c>
      <c r="O211" s="12" t="s">
        <v>67</v>
      </c>
    </row>
    <row r="212" spans="1:15" x14ac:dyDescent="0.25">
      <c r="A212" s="12" t="s">
        <v>337</v>
      </c>
      <c r="B212" s="12" t="s">
        <v>69</v>
      </c>
      <c r="C212" s="12" t="s">
        <v>179</v>
      </c>
      <c r="D212" s="12">
        <v>5</v>
      </c>
      <c r="E212" s="12">
        <v>4</v>
      </c>
      <c r="F212" s="12">
        <v>20</v>
      </c>
      <c r="G212" s="13">
        <v>0.25</v>
      </c>
      <c r="H212" s="12">
        <v>3.8</v>
      </c>
      <c r="I212" s="12">
        <v>3</v>
      </c>
      <c r="J212" s="12">
        <v>11.4</v>
      </c>
      <c r="K212" s="12" t="s">
        <v>60</v>
      </c>
      <c r="L212" s="12" t="s">
        <v>56</v>
      </c>
      <c r="M212" s="14">
        <v>45879</v>
      </c>
      <c r="N212" s="14">
        <v>46465</v>
      </c>
      <c r="O212" s="12" t="s">
        <v>67</v>
      </c>
    </row>
    <row r="213" spans="1:15" x14ac:dyDescent="0.25">
      <c r="A213" s="12" t="s">
        <v>338</v>
      </c>
      <c r="B213" s="12" t="s">
        <v>89</v>
      </c>
      <c r="C213" s="12" t="s">
        <v>148</v>
      </c>
      <c r="D213" s="12">
        <v>2</v>
      </c>
      <c r="E213" s="12">
        <v>4</v>
      </c>
      <c r="F213" s="12">
        <v>8</v>
      </c>
      <c r="G213" s="13">
        <v>0.6</v>
      </c>
      <c r="H213" s="12">
        <v>1</v>
      </c>
      <c r="I213" s="12">
        <v>1.6</v>
      </c>
      <c r="J213" s="12">
        <v>1.6</v>
      </c>
      <c r="K213" s="12" t="s">
        <v>78</v>
      </c>
      <c r="L213" s="12" t="s">
        <v>66</v>
      </c>
      <c r="M213" s="14">
        <v>46109</v>
      </c>
      <c r="N213" s="14">
        <v>46342</v>
      </c>
      <c r="O213" s="12" t="s">
        <v>67</v>
      </c>
    </row>
    <row r="214" spans="1:15" x14ac:dyDescent="0.25">
      <c r="A214" s="12" t="s">
        <v>339</v>
      </c>
      <c r="B214" s="12" t="s">
        <v>141</v>
      </c>
      <c r="C214" s="12" t="s">
        <v>186</v>
      </c>
      <c r="D214" s="12">
        <v>2</v>
      </c>
      <c r="E214" s="12">
        <v>1</v>
      </c>
      <c r="F214" s="12">
        <v>2</v>
      </c>
      <c r="G214" s="13">
        <v>0.73</v>
      </c>
      <c r="H214" s="12">
        <v>1</v>
      </c>
      <c r="I214" s="12">
        <v>1</v>
      </c>
      <c r="J214" s="12">
        <v>1</v>
      </c>
      <c r="K214" s="12" t="s">
        <v>125</v>
      </c>
      <c r="L214" s="12" t="s">
        <v>56</v>
      </c>
      <c r="M214" s="14">
        <v>46071</v>
      </c>
      <c r="N214" s="14">
        <v>46249</v>
      </c>
      <c r="O214" s="12" t="s">
        <v>67</v>
      </c>
    </row>
    <row r="215" spans="1:15" x14ac:dyDescent="0.25">
      <c r="A215" s="12" t="s">
        <v>340</v>
      </c>
      <c r="B215" s="12" t="s">
        <v>141</v>
      </c>
      <c r="C215" s="12" t="s">
        <v>158</v>
      </c>
      <c r="D215" s="12">
        <v>3</v>
      </c>
      <c r="E215" s="12">
        <v>3</v>
      </c>
      <c r="F215" s="12">
        <v>9</v>
      </c>
      <c r="G215" s="13">
        <v>0.88</v>
      </c>
      <c r="H215" s="12">
        <v>1</v>
      </c>
      <c r="I215" s="12">
        <v>1</v>
      </c>
      <c r="J215" s="12">
        <v>1</v>
      </c>
      <c r="K215" s="12" t="s">
        <v>112</v>
      </c>
      <c r="L215" s="12" t="s">
        <v>66</v>
      </c>
      <c r="M215" s="14">
        <v>46096</v>
      </c>
      <c r="N215" s="14">
        <v>46289</v>
      </c>
      <c r="O215" s="12" t="s">
        <v>67</v>
      </c>
    </row>
    <row r="216" spans="1:15" x14ac:dyDescent="0.25">
      <c r="A216" s="12" t="s">
        <v>341</v>
      </c>
      <c r="B216" s="12" t="s">
        <v>76</v>
      </c>
      <c r="C216" s="12" t="s">
        <v>145</v>
      </c>
      <c r="D216" s="12">
        <v>1</v>
      </c>
      <c r="E216" s="12">
        <v>2</v>
      </c>
      <c r="F216" s="12">
        <v>2</v>
      </c>
      <c r="G216" s="13">
        <v>0.27</v>
      </c>
      <c r="H216" s="12">
        <v>1</v>
      </c>
      <c r="I216" s="12">
        <v>1.5</v>
      </c>
      <c r="J216" s="12">
        <v>1.5</v>
      </c>
      <c r="K216" s="12" t="s">
        <v>78</v>
      </c>
      <c r="L216" s="12" t="s">
        <v>66</v>
      </c>
      <c r="M216" s="14">
        <v>46001</v>
      </c>
      <c r="N216" s="14">
        <v>46541</v>
      </c>
      <c r="O216" s="12" t="s">
        <v>67</v>
      </c>
    </row>
    <row r="217" spans="1:15" x14ac:dyDescent="0.25">
      <c r="A217" s="12" t="s">
        <v>342</v>
      </c>
      <c r="B217" s="12" t="s">
        <v>89</v>
      </c>
      <c r="C217" s="12" t="s">
        <v>156</v>
      </c>
      <c r="D217" s="12">
        <v>5</v>
      </c>
      <c r="E217" s="12">
        <v>3</v>
      </c>
      <c r="F217" s="12">
        <v>15</v>
      </c>
      <c r="G217" s="13">
        <v>0.55000000000000004</v>
      </c>
      <c r="H217" s="12">
        <v>2.2000000000000002</v>
      </c>
      <c r="I217" s="12">
        <v>1.4</v>
      </c>
      <c r="J217" s="12">
        <v>3.1</v>
      </c>
      <c r="K217" s="12" t="s">
        <v>73</v>
      </c>
      <c r="L217" s="12" t="s">
        <v>56</v>
      </c>
      <c r="M217" s="14">
        <v>46149</v>
      </c>
      <c r="N217" s="14">
        <v>46543</v>
      </c>
      <c r="O217" s="12" t="s">
        <v>67</v>
      </c>
    </row>
    <row r="218" spans="1:15" x14ac:dyDescent="0.25">
      <c r="A218" s="12" t="s">
        <v>343</v>
      </c>
      <c r="B218" s="12" t="s">
        <v>82</v>
      </c>
      <c r="C218" s="12" t="s">
        <v>100</v>
      </c>
      <c r="D218" s="12">
        <v>1</v>
      </c>
      <c r="E218" s="12">
        <v>1</v>
      </c>
      <c r="F218" s="12">
        <v>1</v>
      </c>
      <c r="G218" s="13">
        <v>0.86</v>
      </c>
      <c r="H218" s="12">
        <v>1</v>
      </c>
      <c r="I218" s="12">
        <v>1</v>
      </c>
      <c r="J218" s="12">
        <v>1</v>
      </c>
      <c r="K218" s="12" t="s">
        <v>125</v>
      </c>
      <c r="L218" s="12" t="s">
        <v>66</v>
      </c>
      <c r="M218" s="14">
        <v>46059</v>
      </c>
      <c r="N218" s="14">
        <v>46260</v>
      </c>
      <c r="O218" s="12" t="s">
        <v>67</v>
      </c>
    </row>
    <row r="219" spans="1:15" x14ac:dyDescent="0.25">
      <c r="A219" s="12" t="s">
        <v>344</v>
      </c>
      <c r="B219" s="12" t="s">
        <v>107</v>
      </c>
      <c r="C219" s="12" t="s">
        <v>345</v>
      </c>
      <c r="D219" s="12">
        <v>2</v>
      </c>
      <c r="E219" s="12">
        <v>2</v>
      </c>
      <c r="F219" s="12">
        <v>4</v>
      </c>
      <c r="G219" s="13">
        <v>0.63</v>
      </c>
      <c r="H219" s="12">
        <v>1</v>
      </c>
      <c r="I219" s="12">
        <v>1</v>
      </c>
      <c r="J219" s="12">
        <v>1</v>
      </c>
      <c r="K219" s="12" t="s">
        <v>55</v>
      </c>
      <c r="L219" s="12" t="s">
        <v>74</v>
      </c>
      <c r="M219" s="14">
        <v>45976</v>
      </c>
      <c r="N219" s="14">
        <v>46482</v>
      </c>
      <c r="O219" s="12" t="s">
        <v>67</v>
      </c>
    </row>
    <row r="220" spans="1:15" x14ac:dyDescent="0.25">
      <c r="A220" s="12" t="s">
        <v>346</v>
      </c>
      <c r="B220" s="12" t="s">
        <v>107</v>
      </c>
      <c r="C220" s="12" t="s">
        <v>90</v>
      </c>
      <c r="D220" s="12">
        <v>4</v>
      </c>
      <c r="E220" s="12">
        <v>5</v>
      </c>
      <c r="F220" s="12">
        <v>20</v>
      </c>
      <c r="G220" s="13">
        <v>0.92</v>
      </c>
      <c r="H220" s="12">
        <v>1</v>
      </c>
      <c r="I220" s="12">
        <v>1</v>
      </c>
      <c r="J220" s="12">
        <v>1</v>
      </c>
      <c r="K220" s="12" t="s">
        <v>91</v>
      </c>
      <c r="L220" s="12" t="s">
        <v>66</v>
      </c>
      <c r="M220" s="14">
        <v>46106</v>
      </c>
      <c r="N220" s="14">
        <v>46513</v>
      </c>
      <c r="O220" s="12" t="s">
        <v>67</v>
      </c>
    </row>
    <row r="221" spans="1:15" x14ac:dyDescent="0.25">
      <c r="A221" s="12" t="s">
        <v>347</v>
      </c>
      <c r="B221" s="12" t="s">
        <v>96</v>
      </c>
      <c r="C221" s="12" t="s">
        <v>215</v>
      </c>
      <c r="D221" s="12">
        <v>3</v>
      </c>
      <c r="E221" s="12">
        <v>2</v>
      </c>
      <c r="F221" s="12">
        <v>6</v>
      </c>
      <c r="G221" s="13">
        <v>0.33</v>
      </c>
      <c r="H221" s="12">
        <v>2</v>
      </c>
      <c r="I221" s="12">
        <v>1.3</v>
      </c>
      <c r="J221" s="12">
        <v>2.6</v>
      </c>
      <c r="K221" s="12" t="s">
        <v>55</v>
      </c>
      <c r="L221" s="12" t="s">
        <v>56</v>
      </c>
      <c r="M221" s="14">
        <v>45956</v>
      </c>
      <c r="N221" s="14">
        <v>46421</v>
      </c>
      <c r="O221" s="12" t="s">
        <v>67</v>
      </c>
    </row>
  </sheetData>
  <conditionalFormatting sqref="O2:O221">
    <cfRule type="cellIs" dxfId="3" priority="1" stopIfTrue="1" operator="equal">
      <formula>"Critical"</formula>
    </cfRule>
    <cfRule type="cellIs" dxfId="2" priority="2" stopIfTrue="1" operator="equal">
      <formula>"High"</formula>
    </cfRule>
    <cfRule type="cellIs" dxfId="1" priority="3" stopIfTrue="1" operator="equal">
      <formula>"Medium"</formula>
    </cfRule>
    <cfRule type="cellIs" dxfId="0" priority="4" stopIfTrue="1" operator="equal">
      <formula>"Low"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01F8-D8AF-4534-8543-DB4F490698B4}">
  <sheetPr codeName="Sheet4"/>
  <dimension ref="A1:I451"/>
  <sheetViews>
    <sheetView workbookViewId="0"/>
  </sheetViews>
  <sheetFormatPr defaultRowHeight="15" x14ac:dyDescent="0.25"/>
  <cols>
    <col min="1" max="9" width="16.7109375" customWidth="1"/>
  </cols>
  <sheetData>
    <row r="1" spans="1:9" x14ac:dyDescent="0.25">
      <c r="A1" s="9" t="s">
        <v>348</v>
      </c>
      <c r="B1" s="9" t="s">
        <v>349</v>
      </c>
      <c r="C1" s="9" t="s">
        <v>350</v>
      </c>
      <c r="D1" s="9" t="s">
        <v>37</v>
      </c>
      <c r="E1" s="9" t="s">
        <v>351</v>
      </c>
      <c r="F1" s="9" t="s">
        <v>352</v>
      </c>
      <c r="G1" s="9" t="s">
        <v>353</v>
      </c>
      <c r="H1" s="9" t="s">
        <v>354</v>
      </c>
      <c r="I1" s="9" t="s">
        <v>48</v>
      </c>
    </row>
    <row r="2" spans="1:9" x14ac:dyDescent="0.25">
      <c r="A2" t="s">
        <v>355</v>
      </c>
      <c r="B2" t="s">
        <v>356</v>
      </c>
      <c r="C2" t="s">
        <v>357</v>
      </c>
      <c r="D2" t="s">
        <v>275</v>
      </c>
      <c r="E2" t="s">
        <v>358</v>
      </c>
      <c r="F2" s="10">
        <v>0.34</v>
      </c>
      <c r="G2" s="11">
        <v>46132</v>
      </c>
      <c r="H2" t="s">
        <v>112</v>
      </c>
      <c r="I2" t="s">
        <v>74</v>
      </c>
    </row>
    <row r="3" spans="1:9" x14ac:dyDescent="0.25">
      <c r="A3" t="s">
        <v>359</v>
      </c>
      <c r="B3" t="s">
        <v>360</v>
      </c>
      <c r="C3" t="s">
        <v>361</v>
      </c>
      <c r="D3" t="s">
        <v>192</v>
      </c>
      <c r="E3" t="s">
        <v>362</v>
      </c>
      <c r="F3" s="10">
        <v>0.22</v>
      </c>
      <c r="G3" s="11">
        <v>46196</v>
      </c>
      <c r="H3" t="s">
        <v>125</v>
      </c>
      <c r="I3" t="s">
        <v>56</v>
      </c>
    </row>
    <row r="4" spans="1:9" x14ac:dyDescent="0.25">
      <c r="A4" t="s">
        <v>363</v>
      </c>
      <c r="B4" t="s">
        <v>364</v>
      </c>
      <c r="C4" t="s">
        <v>361</v>
      </c>
      <c r="D4" t="s">
        <v>327</v>
      </c>
      <c r="E4" t="s">
        <v>365</v>
      </c>
      <c r="F4" s="10">
        <v>0.83</v>
      </c>
      <c r="G4" s="11">
        <v>46142</v>
      </c>
      <c r="H4" t="s">
        <v>73</v>
      </c>
      <c r="I4" t="s">
        <v>66</v>
      </c>
    </row>
    <row r="5" spans="1:9" x14ac:dyDescent="0.25">
      <c r="A5" t="s">
        <v>366</v>
      </c>
      <c r="B5" t="s">
        <v>367</v>
      </c>
      <c r="C5" t="s">
        <v>368</v>
      </c>
      <c r="D5" t="s">
        <v>299</v>
      </c>
      <c r="E5" t="s">
        <v>369</v>
      </c>
      <c r="F5" s="10">
        <v>0.92</v>
      </c>
      <c r="G5" s="11">
        <v>45934</v>
      </c>
      <c r="H5" t="s">
        <v>73</v>
      </c>
      <c r="I5" t="s">
        <v>66</v>
      </c>
    </row>
    <row r="6" spans="1:9" x14ac:dyDescent="0.25">
      <c r="A6" t="s">
        <v>370</v>
      </c>
      <c r="B6" t="s">
        <v>367</v>
      </c>
      <c r="C6" t="s">
        <v>361</v>
      </c>
      <c r="D6" t="s">
        <v>261</v>
      </c>
      <c r="E6" t="s">
        <v>369</v>
      </c>
      <c r="F6" s="10">
        <v>0.38</v>
      </c>
      <c r="G6" s="11">
        <v>45963</v>
      </c>
      <c r="H6" t="s">
        <v>73</v>
      </c>
      <c r="I6" t="s">
        <v>74</v>
      </c>
    </row>
    <row r="7" spans="1:9" x14ac:dyDescent="0.25">
      <c r="A7" t="s">
        <v>371</v>
      </c>
      <c r="B7" t="s">
        <v>372</v>
      </c>
      <c r="C7" t="s">
        <v>361</v>
      </c>
      <c r="D7" t="s">
        <v>304</v>
      </c>
      <c r="E7" t="s">
        <v>373</v>
      </c>
      <c r="F7" s="10">
        <v>0.63</v>
      </c>
      <c r="G7" s="11">
        <v>46138</v>
      </c>
      <c r="H7" t="s">
        <v>91</v>
      </c>
      <c r="I7" t="s">
        <v>84</v>
      </c>
    </row>
    <row r="8" spans="1:9" x14ac:dyDescent="0.25">
      <c r="A8" t="s">
        <v>374</v>
      </c>
      <c r="B8" t="s">
        <v>375</v>
      </c>
      <c r="C8" t="s">
        <v>357</v>
      </c>
      <c r="D8" t="s">
        <v>95</v>
      </c>
      <c r="E8" t="s">
        <v>373</v>
      </c>
      <c r="F8" s="10">
        <v>0.97</v>
      </c>
      <c r="G8" s="11">
        <v>46063</v>
      </c>
      <c r="H8" t="s">
        <v>125</v>
      </c>
      <c r="I8" t="s">
        <v>56</v>
      </c>
    </row>
    <row r="9" spans="1:9" x14ac:dyDescent="0.25">
      <c r="A9" t="s">
        <v>376</v>
      </c>
      <c r="B9" t="s">
        <v>377</v>
      </c>
      <c r="C9" t="s">
        <v>361</v>
      </c>
      <c r="D9" t="s">
        <v>303</v>
      </c>
      <c r="E9" t="s">
        <v>365</v>
      </c>
      <c r="F9" s="10">
        <v>0.61</v>
      </c>
      <c r="G9" s="11">
        <v>45952</v>
      </c>
      <c r="H9" t="s">
        <v>65</v>
      </c>
      <c r="I9" t="s">
        <v>61</v>
      </c>
    </row>
    <row r="10" spans="1:9" x14ac:dyDescent="0.25">
      <c r="A10" t="s">
        <v>378</v>
      </c>
      <c r="B10" t="s">
        <v>379</v>
      </c>
      <c r="C10" t="s">
        <v>368</v>
      </c>
      <c r="D10" t="s">
        <v>293</v>
      </c>
      <c r="E10" t="s">
        <v>373</v>
      </c>
      <c r="F10" s="10">
        <v>0.7</v>
      </c>
      <c r="G10" s="11">
        <v>46085</v>
      </c>
      <c r="H10" t="s">
        <v>55</v>
      </c>
      <c r="I10" t="s">
        <v>61</v>
      </c>
    </row>
    <row r="11" spans="1:9" x14ac:dyDescent="0.25">
      <c r="A11" t="s">
        <v>380</v>
      </c>
      <c r="B11" t="s">
        <v>381</v>
      </c>
      <c r="C11" t="s">
        <v>382</v>
      </c>
      <c r="D11" t="s">
        <v>209</v>
      </c>
      <c r="E11" t="s">
        <v>362</v>
      </c>
      <c r="F11" s="10">
        <v>0.69</v>
      </c>
      <c r="G11" s="11">
        <v>45888</v>
      </c>
      <c r="H11" t="s">
        <v>65</v>
      </c>
      <c r="I11" t="s">
        <v>56</v>
      </c>
    </row>
    <row r="12" spans="1:9" x14ac:dyDescent="0.25">
      <c r="A12" t="s">
        <v>383</v>
      </c>
      <c r="B12" t="s">
        <v>384</v>
      </c>
      <c r="C12" t="s">
        <v>361</v>
      </c>
      <c r="D12" t="s">
        <v>229</v>
      </c>
      <c r="E12" t="s">
        <v>362</v>
      </c>
      <c r="F12" s="10">
        <v>0.33</v>
      </c>
      <c r="G12" s="11">
        <v>45948</v>
      </c>
      <c r="H12" t="s">
        <v>60</v>
      </c>
      <c r="I12" t="s">
        <v>84</v>
      </c>
    </row>
    <row r="13" spans="1:9" x14ac:dyDescent="0.25">
      <c r="A13" t="s">
        <v>385</v>
      </c>
      <c r="B13" t="s">
        <v>386</v>
      </c>
      <c r="C13" t="s">
        <v>382</v>
      </c>
      <c r="D13" t="s">
        <v>235</v>
      </c>
      <c r="E13" t="s">
        <v>373</v>
      </c>
      <c r="F13" s="10">
        <v>0.92</v>
      </c>
      <c r="G13" s="11">
        <v>46001</v>
      </c>
      <c r="H13" t="s">
        <v>125</v>
      </c>
      <c r="I13" t="s">
        <v>74</v>
      </c>
    </row>
    <row r="14" spans="1:9" x14ac:dyDescent="0.25">
      <c r="A14" t="s">
        <v>387</v>
      </c>
      <c r="B14" t="s">
        <v>388</v>
      </c>
      <c r="C14" t="s">
        <v>357</v>
      </c>
      <c r="D14" t="s">
        <v>172</v>
      </c>
      <c r="E14" t="s">
        <v>362</v>
      </c>
      <c r="F14" s="10">
        <v>0.82</v>
      </c>
      <c r="G14" s="11">
        <v>46210</v>
      </c>
      <c r="H14" t="s">
        <v>112</v>
      </c>
      <c r="I14" t="s">
        <v>84</v>
      </c>
    </row>
    <row r="15" spans="1:9" x14ac:dyDescent="0.25">
      <c r="A15" t="s">
        <v>389</v>
      </c>
      <c r="B15" t="s">
        <v>390</v>
      </c>
      <c r="C15" t="s">
        <v>368</v>
      </c>
      <c r="D15" t="s">
        <v>176</v>
      </c>
      <c r="E15" t="s">
        <v>391</v>
      </c>
      <c r="F15" s="10">
        <v>0.74</v>
      </c>
      <c r="G15" s="11">
        <v>45890</v>
      </c>
      <c r="H15" t="s">
        <v>60</v>
      </c>
      <c r="I15" t="s">
        <v>56</v>
      </c>
    </row>
    <row r="16" spans="1:9" x14ac:dyDescent="0.25">
      <c r="A16" t="s">
        <v>392</v>
      </c>
      <c r="B16" t="s">
        <v>393</v>
      </c>
      <c r="C16" t="s">
        <v>368</v>
      </c>
      <c r="D16" t="s">
        <v>198</v>
      </c>
      <c r="E16" t="s">
        <v>365</v>
      </c>
      <c r="F16" s="10">
        <v>0.88</v>
      </c>
      <c r="G16" s="11">
        <v>45878</v>
      </c>
      <c r="H16" t="s">
        <v>73</v>
      </c>
      <c r="I16" t="s">
        <v>74</v>
      </c>
    </row>
    <row r="17" spans="1:9" x14ac:dyDescent="0.25">
      <c r="A17" t="s">
        <v>394</v>
      </c>
      <c r="B17" t="s">
        <v>395</v>
      </c>
      <c r="C17" t="s">
        <v>368</v>
      </c>
      <c r="D17" t="s">
        <v>106</v>
      </c>
      <c r="E17" t="s">
        <v>365</v>
      </c>
      <c r="F17" s="10">
        <v>0.57999999999999996</v>
      </c>
      <c r="G17" s="11">
        <v>46159</v>
      </c>
      <c r="H17" t="s">
        <v>98</v>
      </c>
      <c r="I17" t="s">
        <v>61</v>
      </c>
    </row>
    <row r="18" spans="1:9" x14ac:dyDescent="0.25">
      <c r="A18" t="s">
        <v>396</v>
      </c>
      <c r="B18" t="s">
        <v>397</v>
      </c>
      <c r="C18" t="s">
        <v>357</v>
      </c>
      <c r="D18" t="s">
        <v>178</v>
      </c>
      <c r="E18" t="s">
        <v>362</v>
      </c>
      <c r="F18" s="10">
        <v>0.26</v>
      </c>
      <c r="G18" s="11">
        <v>46055</v>
      </c>
      <c r="H18" t="s">
        <v>65</v>
      </c>
      <c r="I18" t="s">
        <v>61</v>
      </c>
    </row>
    <row r="19" spans="1:9" x14ac:dyDescent="0.25">
      <c r="A19" t="s">
        <v>398</v>
      </c>
      <c r="B19" t="s">
        <v>399</v>
      </c>
      <c r="C19" t="s">
        <v>368</v>
      </c>
      <c r="D19" t="s">
        <v>251</v>
      </c>
      <c r="E19" t="s">
        <v>373</v>
      </c>
      <c r="F19" s="10">
        <v>0.28999999999999998</v>
      </c>
      <c r="G19" s="11">
        <v>46225</v>
      </c>
      <c r="H19" t="s">
        <v>65</v>
      </c>
      <c r="I19" t="s">
        <v>74</v>
      </c>
    </row>
    <row r="20" spans="1:9" x14ac:dyDescent="0.25">
      <c r="A20" t="s">
        <v>400</v>
      </c>
      <c r="B20" t="s">
        <v>360</v>
      </c>
      <c r="C20" t="s">
        <v>357</v>
      </c>
      <c r="D20" t="s">
        <v>307</v>
      </c>
      <c r="E20" t="s">
        <v>369</v>
      </c>
      <c r="F20" s="10">
        <v>0.51</v>
      </c>
      <c r="G20" s="11">
        <v>45932</v>
      </c>
      <c r="H20" t="s">
        <v>73</v>
      </c>
      <c r="I20" t="s">
        <v>61</v>
      </c>
    </row>
    <row r="21" spans="1:9" x14ac:dyDescent="0.25">
      <c r="A21" t="s">
        <v>401</v>
      </c>
      <c r="B21" t="s">
        <v>402</v>
      </c>
      <c r="C21" t="s">
        <v>368</v>
      </c>
      <c r="D21" t="s">
        <v>271</v>
      </c>
      <c r="E21" t="s">
        <v>373</v>
      </c>
      <c r="F21" s="10">
        <v>0.71</v>
      </c>
      <c r="G21" s="11">
        <v>46143</v>
      </c>
      <c r="H21" t="s">
        <v>65</v>
      </c>
      <c r="I21" t="s">
        <v>61</v>
      </c>
    </row>
    <row r="22" spans="1:9" x14ac:dyDescent="0.25">
      <c r="A22" t="s">
        <v>403</v>
      </c>
      <c r="B22" t="s">
        <v>395</v>
      </c>
      <c r="C22" t="s">
        <v>357</v>
      </c>
      <c r="D22" t="s">
        <v>344</v>
      </c>
      <c r="E22" t="s">
        <v>369</v>
      </c>
      <c r="F22" s="10">
        <v>0.97</v>
      </c>
      <c r="G22" s="11">
        <v>46064</v>
      </c>
      <c r="H22" t="s">
        <v>125</v>
      </c>
      <c r="I22" t="s">
        <v>74</v>
      </c>
    </row>
    <row r="23" spans="1:9" x14ac:dyDescent="0.25">
      <c r="A23" t="s">
        <v>404</v>
      </c>
      <c r="B23" t="s">
        <v>405</v>
      </c>
      <c r="C23" t="s">
        <v>357</v>
      </c>
      <c r="D23" t="s">
        <v>225</v>
      </c>
      <c r="E23" t="s">
        <v>362</v>
      </c>
      <c r="F23" s="10">
        <v>0.48</v>
      </c>
      <c r="G23" s="11">
        <v>45877</v>
      </c>
      <c r="H23" t="s">
        <v>73</v>
      </c>
      <c r="I23" t="s">
        <v>66</v>
      </c>
    </row>
    <row r="24" spans="1:9" x14ac:dyDescent="0.25">
      <c r="A24" t="s">
        <v>406</v>
      </c>
      <c r="B24" t="s">
        <v>407</v>
      </c>
      <c r="C24" t="s">
        <v>357</v>
      </c>
      <c r="D24" t="s">
        <v>86</v>
      </c>
      <c r="E24" t="s">
        <v>408</v>
      </c>
      <c r="F24" s="10">
        <v>0.36</v>
      </c>
      <c r="G24" s="11">
        <v>46190</v>
      </c>
      <c r="H24" t="s">
        <v>159</v>
      </c>
      <c r="I24" t="s">
        <v>74</v>
      </c>
    </row>
    <row r="25" spans="1:9" x14ac:dyDescent="0.25">
      <c r="A25" t="s">
        <v>409</v>
      </c>
      <c r="B25" t="s">
        <v>410</v>
      </c>
      <c r="C25" t="s">
        <v>361</v>
      </c>
      <c r="D25" t="s">
        <v>209</v>
      </c>
      <c r="E25" t="s">
        <v>365</v>
      </c>
      <c r="F25" s="10">
        <v>0.84</v>
      </c>
      <c r="G25" s="11">
        <v>46031</v>
      </c>
      <c r="H25" t="s">
        <v>98</v>
      </c>
      <c r="I25" t="s">
        <v>61</v>
      </c>
    </row>
    <row r="26" spans="1:9" x14ac:dyDescent="0.25">
      <c r="A26" t="s">
        <v>411</v>
      </c>
      <c r="B26" t="s">
        <v>412</v>
      </c>
      <c r="C26" t="s">
        <v>357</v>
      </c>
      <c r="D26" t="s">
        <v>235</v>
      </c>
      <c r="E26" t="s">
        <v>369</v>
      </c>
      <c r="F26" s="10">
        <v>0.85</v>
      </c>
      <c r="G26" s="11">
        <v>45953</v>
      </c>
      <c r="H26" t="s">
        <v>91</v>
      </c>
      <c r="I26" t="s">
        <v>84</v>
      </c>
    </row>
    <row r="27" spans="1:9" x14ac:dyDescent="0.25">
      <c r="A27" t="s">
        <v>413</v>
      </c>
      <c r="B27" t="s">
        <v>386</v>
      </c>
      <c r="C27" t="s">
        <v>361</v>
      </c>
      <c r="D27" t="s">
        <v>115</v>
      </c>
      <c r="E27" t="s">
        <v>408</v>
      </c>
      <c r="F27" s="10">
        <v>0.83</v>
      </c>
      <c r="G27" s="11">
        <v>46022</v>
      </c>
      <c r="H27" t="s">
        <v>55</v>
      </c>
      <c r="I27" t="s">
        <v>66</v>
      </c>
    </row>
    <row r="28" spans="1:9" x14ac:dyDescent="0.25">
      <c r="A28" t="s">
        <v>414</v>
      </c>
      <c r="B28" t="s">
        <v>415</v>
      </c>
      <c r="C28" t="s">
        <v>382</v>
      </c>
      <c r="D28" t="s">
        <v>140</v>
      </c>
      <c r="E28" t="s">
        <v>373</v>
      </c>
      <c r="F28" s="10">
        <v>0.76</v>
      </c>
      <c r="G28" s="11">
        <v>46002</v>
      </c>
      <c r="H28" t="s">
        <v>98</v>
      </c>
      <c r="I28" t="s">
        <v>61</v>
      </c>
    </row>
    <row r="29" spans="1:9" x14ac:dyDescent="0.25">
      <c r="A29" t="s">
        <v>416</v>
      </c>
      <c r="B29" t="s">
        <v>364</v>
      </c>
      <c r="C29" t="s">
        <v>357</v>
      </c>
      <c r="D29" t="s">
        <v>225</v>
      </c>
      <c r="E29" t="s">
        <v>373</v>
      </c>
      <c r="F29" s="10">
        <v>0.49</v>
      </c>
      <c r="G29" s="11">
        <v>45904</v>
      </c>
      <c r="H29" t="s">
        <v>60</v>
      </c>
      <c r="I29" t="s">
        <v>61</v>
      </c>
    </row>
    <row r="30" spans="1:9" x14ac:dyDescent="0.25">
      <c r="A30" t="s">
        <v>417</v>
      </c>
      <c r="B30" t="s">
        <v>375</v>
      </c>
      <c r="C30" t="s">
        <v>368</v>
      </c>
      <c r="D30" t="s">
        <v>79</v>
      </c>
      <c r="E30" t="s">
        <v>358</v>
      </c>
      <c r="F30" s="10">
        <v>0.22</v>
      </c>
      <c r="G30" s="11">
        <v>46165</v>
      </c>
      <c r="H30" t="s">
        <v>125</v>
      </c>
      <c r="I30" t="s">
        <v>56</v>
      </c>
    </row>
    <row r="31" spans="1:9" x14ac:dyDescent="0.25">
      <c r="A31" t="s">
        <v>418</v>
      </c>
      <c r="B31" t="s">
        <v>395</v>
      </c>
      <c r="C31" t="s">
        <v>382</v>
      </c>
      <c r="D31" t="s">
        <v>267</v>
      </c>
      <c r="E31" t="s">
        <v>419</v>
      </c>
      <c r="F31" s="10">
        <v>0.87</v>
      </c>
      <c r="G31" s="11">
        <v>46008</v>
      </c>
      <c r="H31" t="s">
        <v>65</v>
      </c>
      <c r="I31" t="s">
        <v>56</v>
      </c>
    </row>
    <row r="32" spans="1:9" x14ac:dyDescent="0.25">
      <c r="A32" t="s">
        <v>420</v>
      </c>
      <c r="B32" t="s">
        <v>390</v>
      </c>
      <c r="C32" t="s">
        <v>368</v>
      </c>
      <c r="D32" t="s">
        <v>198</v>
      </c>
      <c r="E32" t="s">
        <v>362</v>
      </c>
      <c r="F32" s="10">
        <v>0.41</v>
      </c>
      <c r="G32" s="11">
        <v>46178</v>
      </c>
      <c r="H32" t="s">
        <v>112</v>
      </c>
      <c r="I32" t="s">
        <v>74</v>
      </c>
    </row>
    <row r="33" spans="1:9" x14ac:dyDescent="0.25">
      <c r="A33" t="s">
        <v>421</v>
      </c>
      <c r="B33" t="s">
        <v>412</v>
      </c>
      <c r="C33" t="s">
        <v>357</v>
      </c>
      <c r="D33" t="s">
        <v>68</v>
      </c>
      <c r="E33" t="s">
        <v>373</v>
      </c>
      <c r="F33" s="10">
        <v>0.79</v>
      </c>
      <c r="G33" s="11">
        <v>46206</v>
      </c>
      <c r="H33" t="s">
        <v>159</v>
      </c>
      <c r="I33" t="s">
        <v>84</v>
      </c>
    </row>
    <row r="34" spans="1:9" x14ac:dyDescent="0.25">
      <c r="A34" t="s">
        <v>422</v>
      </c>
      <c r="B34" t="s">
        <v>423</v>
      </c>
      <c r="C34" t="s">
        <v>382</v>
      </c>
      <c r="D34" t="s">
        <v>277</v>
      </c>
      <c r="E34" t="s">
        <v>362</v>
      </c>
      <c r="F34" s="10">
        <v>0.24</v>
      </c>
      <c r="G34" s="11">
        <v>46051</v>
      </c>
      <c r="H34" t="s">
        <v>125</v>
      </c>
      <c r="I34" t="s">
        <v>74</v>
      </c>
    </row>
    <row r="35" spans="1:9" x14ac:dyDescent="0.25">
      <c r="A35" t="s">
        <v>424</v>
      </c>
      <c r="B35" t="s">
        <v>375</v>
      </c>
      <c r="C35" t="s">
        <v>368</v>
      </c>
      <c r="D35" t="s">
        <v>163</v>
      </c>
      <c r="E35" t="s">
        <v>419</v>
      </c>
      <c r="F35" s="10">
        <v>0.91</v>
      </c>
      <c r="G35" s="11">
        <v>45916</v>
      </c>
      <c r="H35" t="s">
        <v>65</v>
      </c>
      <c r="I35" t="s">
        <v>66</v>
      </c>
    </row>
    <row r="36" spans="1:9" x14ac:dyDescent="0.25">
      <c r="A36" t="s">
        <v>425</v>
      </c>
      <c r="B36" t="s">
        <v>388</v>
      </c>
      <c r="C36" t="s">
        <v>382</v>
      </c>
      <c r="D36" t="s">
        <v>296</v>
      </c>
      <c r="E36" t="s">
        <v>419</v>
      </c>
      <c r="F36" s="10">
        <v>0.46</v>
      </c>
      <c r="G36" s="11">
        <v>46068</v>
      </c>
      <c r="H36" t="s">
        <v>159</v>
      </c>
      <c r="I36" t="s">
        <v>61</v>
      </c>
    </row>
    <row r="37" spans="1:9" x14ac:dyDescent="0.25">
      <c r="A37" t="s">
        <v>426</v>
      </c>
      <c r="B37" t="s">
        <v>427</v>
      </c>
      <c r="C37" t="s">
        <v>368</v>
      </c>
      <c r="D37" t="s">
        <v>147</v>
      </c>
      <c r="E37" t="s">
        <v>391</v>
      </c>
      <c r="F37" s="10">
        <v>0.46</v>
      </c>
      <c r="G37" s="11">
        <v>45923</v>
      </c>
      <c r="H37" t="s">
        <v>73</v>
      </c>
      <c r="I37" t="s">
        <v>56</v>
      </c>
    </row>
    <row r="38" spans="1:9" x14ac:dyDescent="0.25">
      <c r="A38" t="s">
        <v>428</v>
      </c>
      <c r="B38" t="s">
        <v>375</v>
      </c>
      <c r="C38" t="s">
        <v>357</v>
      </c>
      <c r="D38" t="s">
        <v>267</v>
      </c>
      <c r="E38" t="s">
        <v>365</v>
      </c>
      <c r="F38" s="10">
        <v>0.4</v>
      </c>
      <c r="G38" s="11">
        <v>46056</v>
      </c>
      <c r="H38" t="s">
        <v>60</v>
      </c>
      <c r="I38" t="s">
        <v>56</v>
      </c>
    </row>
    <row r="39" spans="1:9" x14ac:dyDescent="0.25">
      <c r="A39" t="s">
        <v>429</v>
      </c>
      <c r="B39" t="s">
        <v>430</v>
      </c>
      <c r="C39" t="s">
        <v>357</v>
      </c>
      <c r="D39" t="s">
        <v>85</v>
      </c>
      <c r="E39" t="s">
        <v>373</v>
      </c>
      <c r="F39" s="10">
        <v>0.49</v>
      </c>
      <c r="G39" s="11">
        <v>46191</v>
      </c>
      <c r="H39" t="s">
        <v>125</v>
      </c>
      <c r="I39" t="s">
        <v>56</v>
      </c>
    </row>
    <row r="40" spans="1:9" x14ac:dyDescent="0.25">
      <c r="A40" t="s">
        <v>431</v>
      </c>
      <c r="B40" t="s">
        <v>432</v>
      </c>
      <c r="C40" t="s">
        <v>368</v>
      </c>
      <c r="D40" t="s">
        <v>247</v>
      </c>
      <c r="E40" t="s">
        <v>408</v>
      </c>
      <c r="F40" s="10">
        <v>0.42</v>
      </c>
      <c r="G40" s="11">
        <v>46116</v>
      </c>
      <c r="H40" t="s">
        <v>125</v>
      </c>
      <c r="I40" t="s">
        <v>61</v>
      </c>
    </row>
    <row r="41" spans="1:9" x14ac:dyDescent="0.25">
      <c r="A41" t="s">
        <v>433</v>
      </c>
      <c r="B41" t="s">
        <v>410</v>
      </c>
      <c r="C41" t="s">
        <v>382</v>
      </c>
      <c r="D41" t="s">
        <v>138</v>
      </c>
      <c r="E41" t="s">
        <v>362</v>
      </c>
      <c r="F41" s="10">
        <v>0.63</v>
      </c>
      <c r="G41" s="11">
        <v>46228</v>
      </c>
      <c r="H41" t="s">
        <v>125</v>
      </c>
      <c r="I41" t="s">
        <v>66</v>
      </c>
    </row>
    <row r="42" spans="1:9" x14ac:dyDescent="0.25">
      <c r="A42" t="s">
        <v>434</v>
      </c>
      <c r="B42" t="s">
        <v>381</v>
      </c>
      <c r="C42" t="s">
        <v>368</v>
      </c>
      <c r="D42" t="s">
        <v>93</v>
      </c>
      <c r="E42" t="s">
        <v>391</v>
      </c>
      <c r="F42" s="10">
        <v>0.24</v>
      </c>
      <c r="G42" s="11">
        <v>45894</v>
      </c>
      <c r="H42" t="s">
        <v>55</v>
      </c>
      <c r="I42" t="s">
        <v>74</v>
      </c>
    </row>
    <row r="43" spans="1:9" x14ac:dyDescent="0.25">
      <c r="A43" t="s">
        <v>435</v>
      </c>
      <c r="B43" t="s">
        <v>399</v>
      </c>
      <c r="C43" t="s">
        <v>368</v>
      </c>
      <c r="D43" t="s">
        <v>155</v>
      </c>
      <c r="E43" t="s">
        <v>408</v>
      </c>
      <c r="F43" s="10">
        <v>0.73</v>
      </c>
      <c r="G43" s="11">
        <v>46182</v>
      </c>
      <c r="H43" t="s">
        <v>60</v>
      </c>
      <c r="I43" t="s">
        <v>66</v>
      </c>
    </row>
    <row r="44" spans="1:9" x14ac:dyDescent="0.25">
      <c r="A44" t="s">
        <v>436</v>
      </c>
      <c r="B44" t="s">
        <v>437</v>
      </c>
      <c r="C44" t="s">
        <v>361</v>
      </c>
      <c r="D44" t="s">
        <v>322</v>
      </c>
      <c r="E44" t="s">
        <v>362</v>
      </c>
      <c r="F44" s="10">
        <v>0.62</v>
      </c>
      <c r="G44" s="11">
        <v>46038</v>
      </c>
      <c r="H44" t="s">
        <v>98</v>
      </c>
      <c r="I44" t="s">
        <v>56</v>
      </c>
    </row>
    <row r="45" spans="1:9" x14ac:dyDescent="0.25">
      <c r="A45" t="s">
        <v>438</v>
      </c>
      <c r="B45" t="s">
        <v>432</v>
      </c>
      <c r="C45" t="s">
        <v>361</v>
      </c>
      <c r="D45" t="s">
        <v>106</v>
      </c>
      <c r="E45" t="s">
        <v>373</v>
      </c>
      <c r="F45" s="10">
        <v>0.82</v>
      </c>
      <c r="G45" s="11">
        <v>46108</v>
      </c>
      <c r="H45" t="s">
        <v>73</v>
      </c>
      <c r="I45" t="s">
        <v>84</v>
      </c>
    </row>
    <row r="46" spans="1:9" x14ac:dyDescent="0.25">
      <c r="A46" t="s">
        <v>439</v>
      </c>
      <c r="B46" t="s">
        <v>432</v>
      </c>
      <c r="C46" t="s">
        <v>368</v>
      </c>
      <c r="D46" t="s">
        <v>105</v>
      </c>
      <c r="E46" t="s">
        <v>358</v>
      </c>
      <c r="F46" s="10">
        <v>0.9</v>
      </c>
      <c r="G46" s="11">
        <v>46010</v>
      </c>
      <c r="H46" t="s">
        <v>73</v>
      </c>
      <c r="I46" t="s">
        <v>74</v>
      </c>
    </row>
    <row r="47" spans="1:9" x14ac:dyDescent="0.25">
      <c r="A47" t="s">
        <v>440</v>
      </c>
      <c r="B47" t="s">
        <v>441</v>
      </c>
      <c r="C47" t="s">
        <v>361</v>
      </c>
      <c r="D47" t="s">
        <v>328</v>
      </c>
      <c r="E47" t="s">
        <v>373</v>
      </c>
      <c r="F47" s="10">
        <v>0.34</v>
      </c>
      <c r="G47" s="11">
        <v>45970</v>
      </c>
      <c r="H47" t="s">
        <v>73</v>
      </c>
      <c r="I47" t="s">
        <v>56</v>
      </c>
    </row>
    <row r="48" spans="1:9" x14ac:dyDescent="0.25">
      <c r="A48" t="s">
        <v>442</v>
      </c>
      <c r="B48" t="s">
        <v>443</v>
      </c>
      <c r="C48" t="s">
        <v>357</v>
      </c>
      <c r="D48" t="s">
        <v>325</v>
      </c>
      <c r="E48" t="s">
        <v>362</v>
      </c>
      <c r="F48" s="10">
        <v>0.59</v>
      </c>
      <c r="G48" s="11">
        <v>45912</v>
      </c>
      <c r="H48" t="s">
        <v>65</v>
      </c>
      <c r="I48" t="s">
        <v>74</v>
      </c>
    </row>
    <row r="49" spans="1:9" x14ac:dyDescent="0.25">
      <c r="A49" t="s">
        <v>444</v>
      </c>
      <c r="B49" t="s">
        <v>441</v>
      </c>
      <c r="C49" t="s">
        <v>357</v>
      </c>
      <c r="D49" t="s">
        <v>115</v>
      </c>
      <c r="E49" t="s">
        <v>419</v>
      </c>
      <c r="F49" s="10">
        <v>0.55000000000000004</v>
      </c>
      <c r="G49" s="11">
        <v>46007</v>
      </c>
      <c r="H49" t="s">
        <v>60</v>
      </c>
      <c r="I49" t="s">
        <v>74</v>
      </c>
    </row>
    <row r="50" spans="1:9" x14ac:dyDescent="0.25">
      <c r="A50" t="s">
        <v>445</v>
      </c>
      <c r="B50" t="s">
        <v>446</v>
      </c>
      <c r="C50" t="s">
        <v>361</v>
      </c>
      <c r="D50" t="s">
        <v>318</v>
      </c>
      <c r="E50" t="s">
        <v>365</v>
      </c>
      <c r="F50" s="10">
        <v>0.26</v>
      </c>
      <c r="G50" s="11">
        <v>46120</v>
      </c>
      <c r="H50" t="s">
        <v>159</v>
      </c>
      <c r="I50" t="s">
        <v>56</v>
      </c>
    </row>
    <row r="51" spans="1:9" x14ac:dyDescent="0.25">
      <c r="A51" t="s">
        <v>447</v>
      </c>
      <c r="B51" t="s">
        <v>448</v>
      </c>
      <c r="C51" t="s">
        <v>368</v>
      </c>
      <c r="D51" t="s">
        <v>181</v>
      </c>
      <c r="E51" t="s">
        <v>408</v>
      </c>
      <c r="F51" s="10">
        <v>0.48</v>
      </c>
      <c r="G51" s="11">
        <v>45999</v>
      </c>
      <c r="H51" t="s">
        <v>73</v>
      </c>
      <c r="I51" t="s">
        <v>61</v>
      </c>
    </row>
    <row r="52" spans="1:9" x14ac:dyDescent="0.25">
      <c r="A52" t="s">
        <v>449</v>
      </c>
      <c r="B52" t="s">
        <v>423</v>
      </c>
      <c r="C52" t="s">
        <v>368</v>
      </c>
      <c r="D52" t="s">
        <v>293</v>
      </c>
      <c r="E52" t="s">
        <v>358</v>
      </c>
      <c r="F52" s="10">
        <v>0.66</v>
      </c>
      <c r="G52" s="11">
        <v>46185</v>
      </c>
      <c r="H52" t="s">
        <v>91</v>
      </c>
      <c r="I52" t="s">
        <v>74</v>
      </c>
    </row>
    <row r="53" spans="1:9" x14ac:dyDescent="0.25">
      <c r="A53" t="s">
        <v>450</v>
      </c>
      <c r="B53" t="s">
        <v>451</v>
      </c>
      <c r="C53" t="s">
        <v>368</v>
      </c>
      <c r="D53" t="s">
        <v>204</v>
      </c>
      <c r="E53" t="s">
        <v>419</v>
      </c>
      <c r="F53" s="10">
        <v>0.97</v>
      </c>
      <c r="G53" s="11">
        <v>46004</v>
      </c>
      <c r="H53" t="s">
        <v>91</v>
      </c>
      <c r="I53" t="s">
        <v>56</v>
      </c>
    </row>
    <row r="54" spans="1:9" x14ac:dyDescent="0.25">
      <c r="A54" t="s">
        <v>452</v>
      </c>
      <c r="B54" t="s">
        <v>356</v>
      </c>
      <c r="C54" t="s">
        <v>361</v>
      </c>
      <c r="D54" t="s">
        <v>252</v>
      </c>
      <c r="E54" t="s">
        <v>358</v>
      </c>
      <c r="F54" s="10">
        <v>0.28999999999999998</v>
      </c>
      <c r="G54" s="11">
        <v>45937</v>
      </c>
      <c r="H54" t="s">
        <v>91</v>
      </c>
      <c r="I54" t="s">
        <v>74</v>
      </c>
    </row>
    <row r="55" spans="1:9" x14ac:dyDescent="0.25">
      <c r="A55" t="s">
        <v>453</v>
      </c>
      <c r="B55" t="s">
        <v>454</v>
      </c>
      <c r="C55" t="s">
        <v>368</v>
      </c>
      <c r="D55" t="s">
        <v>236</v>
      </c>
      <c r="E55" t="s">
        <v>365</v>
      </c>
      <c r="F55" s="10">
        <v>0.65</v>
      </c>
      <c r="G55" s="11">
        <v>45984</v>
      </c>
      <c r="H55" t="s">
        <v>159</v>
      </c>
      <c r="I55" t="s">
        <v>56</v>
      </c>
    </row>
    <row r="56" spans="1:9" x14ac:dyDescent="0.25">
      <c r="A56" t="s">
        <v>455</v>
      </c>
      <c r="B56" t="s">
        <v>412</v>
      </c>
      <c r="C56" t="s">
        <v>368</v>
      </c>
      <c r="D56" t="s">
        <v>262</v>
      </c>
      <c r="E56" t="s">
        <v>358</v>
      </c>
      <c r="F56" s="10">
        <v>0.33</v>
      </c>
      <c r="G56" s="11">
        <v>46206</v>
      </c>
      <c r="H56" t="s">
        <v>91</v>
      </c>
      <c r="I56" t="s">
        <v>66</v>
      </c>
    </row>
    <row r="57" spans="1:9" x14ac:dyDescent="0.25">
      <c r="A57" t="s">
        <v>456</v>
      </c>
      <c r="B57" t="s">
        <v>377</v>
      </c>
      <c r="C57" t="s">
        <v>357</v>
      </c>
      <c r="D57" t="s">
        <v>106</v>
      </c>
      <c r="E57" t="s">
        <v>419</v>
      </c>
      <c r="F57" s="10">
        <v>0.77</v>
      </c>
      <c r="G57" s="11">
        <v>46179</v>
      </c>
      <c r="H57" t="s">
        <v>78</v>
      </c>
      <c r="I57" t="s">
        <v>56</v>
      </c>
    </row>
    <row r="58" spans="1:9" x14ac:dyDescent="0.25">
      <c r="A58" t="s">
        <v>457</v>
      </c>
      <c r="B58" t="s">
        <v>397</v>
      </c>
      <c r="C58" t="s">
        <v>368</v>
      </c>
      <c r="D58" t="s">
        <v>202</v>
      </c>
      <c r="E58" t="s">
        <v>362</v>
      </c>
      <c r="F58" s="10">
        <v>0.5</v>
      </c>
      <c r="G58" s="11">
        <v>45907</v>
      </c>
      <c r="H58" t="s">
        <v>65</v>
      </c>
      <c r="I58" t="s">
        <v>84</v>
      </c>
    </row>
    <row r="59" spans="1:9" x14ac:dyDescent="0.25">
      <c r="A59" t="s">
        <v>458</v>
      </c>
      <c r="B59" t="s">
        <v>432</v>
      </c>
      <c r="C59" t="s">
        <v>368</v>
      </c>
      <c r="D59" t="s">
        <v>287</v>
      </c>
      <c r="E59" t="s">
        <v>419</v>
      </c>
      <c r="F59" s="10">
        <v>0.37</v>
      </c>
      <c r="G59" s="11">
        <v>46005</v>
      </c>
      <c r="H59" t="s">
        <v>60</v>
      </c>
      <c r="I59" t="s">
        <v>56</v>
      </c>
    </row>
    <row r="60" spans="1:9" x14ac:dyDescent="0.25">
      <c r="A60" t="s">
        <v>459</v>
      </c>
      <c r="B60" t="s">
        <v>397</v>
      </c>
      <c r="C60" t="s">
        <v>382</v>
      </c>
      <c r="D60" t="s">
        <v>266</v>
      </c>
      <c r="E60" t="s">
        <v>369</v>
      </c>
      <c r="F60" s="10">
        <v>0.75</v>
      </c>
      <c r="G60" s="11">
        <v>46055</v>
      </c>
      <c r="H60" t="s">
        <v>55</v>
      </c>
      <c r="I60" t="s">
        <v>74</v>
      </c>
    </row>
    <row r="61" spans="1:9" x14ac:dyDescent="0.25">
      <c r="A61" t="s">
        <v>460</v>
      </c>
      <c r="B61" t="s">
        <v>395</v>
      </c>
      <c r="C61" t="s">
        <v>368</v>
      </c>
      <c r="D61" t="s">
        <v>197</v>
      </c>
      <c r="E61" t="s">
        <v>373</v>
      </c>
      <c r="F61" s="10">
        <v>0.28999999999999998</v>
      </c>
      <c r="G61" s="11">
        <v>45883</v>
      </c>
      <c r="H61" t="s">
        <v>112</v>
      </c>
      <c r="I61" t="s">
        <v>56</v>
      </c>
    </row>
    <row r="62" spans="1:9" x14ac:dyDescent="0.25">
      <c r="A62" t="s">
        <v>461</v>
      </c>
      <c r="B62" t="s">
        <v>462</v>
      </c>
      <c r="C62" t="s">
        <v>368</v>
      </c>
      <c r="D62" t="s">
        <v>210</v>
      </c>
      <c r="E62" t="s">
        <v>391</v>
      </c>
      <c r="F62" s="10">
        <v>0.41</v>
      </c>
      <c r="G62" s="11">
        <v>46110</v>
      </c>
      <c r="H62" t="s">
        <v>125</v>
      </c>
      <c r="I62" t="s">
        <v>74</v>
      </c>
    </row>
    <row r="63" spans="1:9" x14ac:dyDescent="0.25">
      <c r="A63" t="s">
        <v>463</v>
      </c>
      <c r="B63" t="s">
        <v>388</v>
      </c>
      <c r="C63" t="s">
        <v>357</v>
      </c>
      <c r="D63" t="s">
        <v>111</v>
      </c>
      <c r="E63" t="s">
        <v>365</v>
      </c>
      <c r="F63" s="10">
        <v>0.79</v>
      </c>
      <c r="G63" s="11">
        <v>46142</v>
      </c>
      <c r="H63" t="s">
        <v>159</v>
      </c>
      <c r="I63" t="s">
        <v>61</v>
      </c>
    </row>
    <row r="64" spans="1:9" x14ac:dyDescent="0.25">
      <c r="A64" t="s">
        <v>464</v>
      </c>
      <c r="B64" t="s">
        <v>465</v>
      </c>
      <c r="C64" t="s">
        <v>357</v>
      </c>
      <c r="D64" t="s">
        <v>341</v>
      </c>
      <c r="E64" t="s">
        <v>369</v>
      </c>
      <c r="F64" s="10">
        <v>0.63</v>
      </c>
      <c r="G64" s="11">
        <v>46176</v>
      </c>
      <c r="H64" t="s">
        <v>78</v>
      </c>
      <c r="I64" t="s">
        <v>74</v>
      </c>
    </row>
    <row r="65" spans="1:9" x14ac:dyDescent="0.25">
      <c r="A65" t="s">
        <v>466</v>
      </c>
      <c r="B65" t="s">
        <v>437</v>
      </c>
      <c r="C65" t="s">
        <v>382</v>
      </c>
      <c r="D65" t="s">
        <v>197</v>
      </c>
      <c r="E65" t="s">
        <v>408</v>
      </c>
      <c r="F65" s="10">
        <v>0.67</v>
      </c>
      <c r="G65" s="11">
        <v>45925</v>
      </c>
      <c r="H65" t="s">
        <v>91</v>
      </c>
      <c r="I65" t="s">
        <v>74</v>
      </c>
    </row>
    <row r="66" spans="1:9" x14ac:dyDescent="0.25">
      <c r="A66" t="s">
        <v>467</v>
      </c>
      <c r="B66" t="s">
        <v>407</v>
      </c>
      <c r="C66" t="s">
        <v>368</v>
      </c>
      <c r="D66" t="s">
        <v>310</v>
      </c>
      <c r="E66" t="s">
        <v>358</v>
      </c>
      <c r="F66" s="10">
        <v>0.34</v>
      </c>
      <c r="G66" s="11">
        <v>45896</v>
      </c>
      <c r="H66" t="s">
        <v>60</v>
      </c>
      <c r="I66" t="s">
        <v>56</v>
      </c>
    </row>
    <row r="67" spans="1:9" x14ac:dyDescent="0.25">
      <c r="A67" t="s">
        <v>468</v>
      </c>
      <c r="B67" t="s">
        <v>390</v>
      </c>
      <c r="C67" t="s">
        <v>361</v>
      </c>
      <c r="D67" t="s">
        <v>295</v>
      </c>
      <c r="E67" t="s">
        <v>419</v>
      </c>
      <c r="F67" s="10">
        <v>0.6</v>
      </c>
      <c r="G67" s="11">
        <v>46109</v>
      </c>
      <c r="H67" t="s">
        <v>55</v>
      </c>
      <c r="I67" t="s">
        <v>56</v>
      </c>
    </row>
    <row r="68" spans="1:9" x14ac:dyDescent="0.25">
      <c r="A68" t="s">
        <v>469</v>
      </c>
      <c r="B68" t="s">
        <v>470</v>
      </c>
      <c r="C68" t="s">
        <v>361</v>
      </c>
      <c r="D68" t="s">
        <v>297</v>
      </c>
      <c r="E68" t="s">
        <v>408</v>
      </c>
      <c r="F68" s="10">
        <v>0.3</v>
      </c>
      <c r="G68" s="11">
        <v>45919</v>
      </c>
      <c r="H68" t="s">
        <v>112</v>
      </c>
      <c r="I68" t="s">
        <v>74</v>
      </c>
    </row>
    <row r="69" spans="1:9" x14ac:dyDescent="0.25">
      <c r="A69" t="s">
        <v>471</v>
      </c>
      <c r="B69" t="s">
        <v>465</v>
      </c>
      <c r="C69" t="s">
        <v>382</v>
      </c>
      <c r="D69" t="s">
        <v>165</v>
      </c>
      <c r="E69" t="s">
        <v>365</v>
      </c>
      <c r="F69" s="10">
        <v>0.62</v>
      </c>
      <c r="G69" s="11">
        <v>46020</v>
      </c>
      <c r="H69" t="s">
        <v>65</v>
      </c>
      <c r="I69" t="s">
        <v>61</v>
      </c>
    </row>
    <row r="70" spans="1:9" x14ac:dyDescent="0.25">
      <c r="A70" t="s">
        <v>472</v>
      </c>
      <c r="B70" t="s">
        <v>473</v>
      </c>
      <c r="C70" t="s">
        <v>382</v>
      </c>
      <c r="D70" t="s">
        <v>304</v>
      </c>
      <c r="E70" t="s">
        <v>419</v>
      </c>
      <c r="F70" s="10">
        <v>0.64</v>
      </c>
      <c r="G70" s="11">
        <v>46074</v>
      </c>
      <c r="H70" t="s">
        <v>159</v>
      </c>
      <c r="I70" t="s">
        <v>84</v>
      </c>
    </row>
    <row r="71" spans="1:9" x14ac:dyDescent="0.25">
      <c r="A71" t="s">
        <v>474</v>
      </c>
      <c r="B71" t="s">
        <v>372</v>
      </c>
      <c r="C71" t="s">
        <v>361</v>
      </c>
      <c r="D71" t="s">
        <v>326</v>
      </c>
      <c r="E71" t="s">
        <v>358</v>
      </c>
      <c r="F71" s="10">
        <v>0.96</v>
      </c>
      <c r="G71" s="11">
        <v>45987</v>
      </c>
      <c r="H71" t="s">
        <v>55</v>
      </c>
      <c r="I71" t="s">
        <v>56</v>
      </c>
    </row>
    <row r="72" spans="1:9" x14ac:dyDescent="0.25">
      <c r="A72" t="s">
        <v>475</v>
      </c>
      <c r="B72" t="s">
        <v>379</v>
      </c>
      <c r="C72" t="s">
        <v>357</v>
      </c>
      <c r="D72" t="s">
        <v>154</v>
      </c>
      <c r="E72" t="s">
        <v>365</v>
      </c>
      <c r="F72" s="10">
        <v>0.9</v>
      </c>
      <c r="G72" s="11">
        <v>46095</v>
      </c>
      <c r="H72" t="s">
        <v>55</v>
      </c>
      <c r="I72" t="s">
        <v>56</v>
      </c>
    </row>
    <row r="73" spans="1:9" x14ac:dyDescent="0.25">
      <c r="A73" t="s">
        <v>476</v>
      </c>
      <c r="B73" t="s">
        <v>465</v>
      </c>
      <c r="C73" t="s">
        <v>382</v>
      </c>
      <c r="D73" t="s">
        <v>138</v>
      </c>
      <c r="E73" t="s">
        <v>358</v>
      </c>
      <c r="F73" s="10">
        <v>0.46</v>
      </c>
      <c r="G73" s="11">
        <v>45883</v>
      </c>
      <c r="H73" t="s">
        <v>60</v>
      </c>
      <c r="I73" t="s">
        <v>74</v>
      </c>
    </row>
    <row r="74" spans="1:9" x14ac:dyDescent="0.25">
      <c r="A74" t="s">
        <v>477</v>
      </c>
      <c r="B74" t="s">
        <v>407</v>
      </c>
      <c r="C74" t="s">
        <v>368</v>
      </c>
      <c r="D74" t="s">
        <v>230</v>
      </c>
      <c r="E74" t="s">
        <v>358</v>
      </c>
      <c r="F74" s="10">
        <v>0.81</v>
      </c>
      <c r="G74" s="11">
        <v>45994</v>
      </c>
      <c r="H74" t="s">
        <v>78</v>
      </c>
      <c r="I74" t="s">
        <v>66</v>
      </c>
    </row>
    <row r="75" spans="1:9" x14ac:dyDescent="0.25">
      <c r="A75" t="s">
        <v>478</v>
      </c>
      <c r="B75" t="s">
        <v>470</v>
      </c>
      <c r="C75" t="s">
        <v>368</v>
      </c>
      <c r="D75" t="s">
        <v>271</v>
      </c>
      <c r="E75" t="s">
        <v>373</v>
      </c>
      <c r="F75" s="10">
        <v>0.56999999999999995</v>
      </c>
      <c r="G75" s="11">
        <v>46220</v>
      </c>
      <c r="H75" t="s">
        <v>91</v>
      </c>
      <c r="I75" t="s">
        <v>61</v>
      </c>
    </row>
    <row r="76" spans="1:9" x14ac:dyDescent="0.25">
      <c r="A76" t="s">
        <v>479</v>
      </c>
      <c r="B76" t="s">
        <v>372</v>
      </c>
      <c r="C76" t="s">
        <v>357</v>
      </c>
      <c r="D76" t="s">
        <v>213</v>
      </c>
      <c r="E76" t="s">
        <v>373</v>
      </c>
      <c r="F76" s="10">
        <v>0.32</v>
      </c>
      <c r="G76" s="11">
        <v>46053</v>
      </c>
      <c r="H76" t="s">
        <v>112</v>
      </c>
      <c r="I76" t="s">
        <v>61</v>
      </c>
    </row>
    <row r="77" spans="1:9" x14ac:dyDescent="0.25">
      <c r="A77" t="s">
        <v>480</v>
      </c>
      <c r="B77" t="s">
        <v>367</v>
      </c>
      <c r="C77" t="s">
        <v>357</v>
      </c>
      <c r="D77" t="s">
        <v>178</v>
      </c>
      <c r="E77" t="s">
        <v>358</v>
      </c>
      <c r="F77" s="10">
        <v>0.53</v>
      </c>
      <c r="G77" s="11">
        <v>45959</v>
      </c>
      <c r="H77" t="s">
        <v>65</v>
      </c>
      <c r="I77" t="s">
        <v>56</v>
      </c>
    </row>
    <row r="78" spans="1:9" x14ac:dyDescent="0.25">
      <c r="A78" t="s">
        <v>481</v>
      </c>
      <c r="B78" t="s">
        <v>482</v>
      </c>
      <c r="C78" t="s">
        <v>357</v>
      </c>
      <c r="D78" t="s">
        <v>81</v>
      </c>
      <c r="E78" t="s">
        <v>362</v>
      </c>
      <c r="F78" s="10">
        <v>0.38</v>
      </c>
      <c r="G78" s="11">
        <v>46101</v>
      </c>
      <c r="H78" t="s">
        <v>60</v>
      </c>
      <c r="I78" t="s">
        <v>56</v>
      </c>
    </row>
    <row r="79" spans="1:9" x14ac:dyDescent="0.25">
      <c r="A79" t="s">
        <v>483</v>
      </c>
      <c r="B79" t="s">
        <v>484</v>
      </c>
      <c r="C79" t="s">
        <v>361</v>
      </c>
      <c r="D79" t="s">
        <v>147</v>
      </c>
      <c r="E79" t="s">
        <v>365</v>
      </c>
      <c r="F79" s="10">
        <v>0.56999999999999995</v>
      </c>
      <c r="G79" s="11">
        <v>46158</v>
      </c>
      <c r="H79" t="s">
        <v>91</v>
      </c>
      <c r="I79" t="s">
        <v>74</v>
      </c>
    </row>
    <row r="80" spans="1:9" x14ac:dyDescent="0.25">
      <c r="A80" t="s">
        <v>485</v>
      </c>
      <c r="B80" t="s">
        <v>482</v>
      </c>
      <c r="C80" t="s">
        <v>368</v>
      </c>
      <c r="D80" t="s">
        <v>251</v>
      </c>
      <c r="E80" t="s">
        <v>408</v>
      </c>
      <c r="F80" s="10">
        <v>0.52</v>
      </c>
      <c r="G80" s="11">
        <v>45873</v>
      </c>
      <c r="H80" t="s">
        <v>73</v>
      </c>
      <c r="I80" t="s">
        <v>74</v>
      </c>
    </row>
    <row r="81" spans="1:9" x14ac:dyDescent="0.25">
      <c r="A81" t="s">
        <v>486</v>
      </c>
      <c r="B81" t="s">
        <v>487</v>
      </c>
      <c r="C81" t="s">
        <v>357</v>
      </c>
      <c r="D81" t="s">
        <v>294</v>
      </c>
      <c r="E81" t="s">
        <v>391</v>
      </c>
      <c r="F81" s="10">
        <v>0.34</v>
      </c>
      <c r="G81" s="11">
        <v>45962</v>
      </c>
      <c r="H81" t="s">
        <v>159</v>
      </c>
      <c r="I81" t="s">
        <v>74</v>
      </c>
    </row>
    <row r="82" spans="1:9" x14ac:dyDescent="0.25">
      <c r="A82" t="s">
        <v>488</v>
      </c>
      <c r="B82" t="s">
        <v>443</v>
      </c>
      <c r="C82" t="s">
        <v>368</v>
      </c>
      <c r="D82" t="s">
        <v>255</v>
      </c>
      <c r="E82" t="s">
        <v>365</v>
      </c>
      <c r="F82" s="10">
        <v>0.48</v>
      </c>
      <c r="G82" s="11">
        <v>46110</v>
      </c>
      <c r="H82" t="s">
        <v>60</v>
      </c>
      <c r="I82" t="s">
        <v>56</v>
      </c>
    </row>
    <row r="83" spans="1:9" x14ac:dyDescent="0.25">
      <c r="A83" t="s">
        <v>489</v>
      </c>
      <c r="B83" t="s">
        <v>364</v>
      </c>
      <c r="C83" t="s">
        <v>357</v>
      </c>
      <c r="D83" t="s">
        <v>270</v>
      </c>
      <c r="E83" t="s">
        <v>391</v>
      </c>
      <c r="F83" s="10">
        <v>0.48</v>
      </c>
      <c r="G83" s="11">
        <v>45882</v>
      </c>
      <c r="H83" t="s">
        <v>125</v>
      </c>
      <c r="I83" t="s">
        <v>84</v>
      </c>
    </row>
    <row r="84" spans="1:9" x14ac:dyDescent="0.25">
      <c r="A84" t="s">
        <v>490</v>
      </c>
      <c r="B84" t="s">
        <v>377</v>
      </c>
      <c r="C84" t="s">
        <v>382</v>
      </c>
      <c r="D84" t="s">
        <v>309</v>
      </c>
      <c r="E84" t="s">
        <v>358</v>
      </c>
      <c r="F84" s="10">
        <v>0.2</v>
      </c>
      <c r="G84" s="11">
        <v>46000</v>
      </c>
      <c r="H84" t="s">
        <v>91</v>
      </c>
      <c r="I84" t="s">
        <v>61</v>
      </c>
    </row>
    <row r="85" spans="1:9" x14ac:dyDescent="0.25">
      <c r="A85" t="s">
        <v>491</v>
      </c>
      <c r="B85" t="s">
        <v>356</v>
      </c>
      <c r="C85" t="s">
        <v>357</v>
      </c>
      <c r="D85" t="s">
        <v>292</v>
      </c>
      <c r="E85" t="s">
        <v>358</v>
      </c>
      <c r="F85" s="10">
        <v>0.22</v>
      </c>
      <c r="G85" s="11">
        <v>45973</v>
      </c>
      <c r="H85" t="s">
        <v>55</v>
      </c>
      <c r="I85" t="s">
        <v>61</v>
      </c>
    </row>
    <row r="86" spans="1:9" x14ac:dyDescent="0.25">
      <c r="A86" t="s">
        <v>492</v>
      </c>
      <c r="B86" t="s">
        <v>432</v>
      </c>
      <c r="C86" t="s">
        <v>368</v>
      </c>
      <c r="D86" t="s">
        <v>189</v>
      </c>
      <c r="E86" t="s">
        <v>358</v>
      </c>
      <c r="F86" s="10">
        <v>0.64</v>
      </c>
      <c r="G86" s="11">
        <v>46101</v>
      </c>
      <c r="H86" t="s">
        <v>55</v>
      </c>
      <c r="I86" t="s">
        <v>74</v>
      </c>
    </row>
    <row r="87" spans="1:9" x14ac:dyDescent="0.25">
      <c r="A87" t="s">
        <v>493</v>
      </c>
      <c r="B87" t="s">
        <v>470</v>
      </c>
      <c r="C87" t="s">
        <v>368</v>
      </c>
      <c r="D87" t="s">
        <v>153</v>
      </c>
      <c r="E87" t="s">
        <v>419</v>
      </c>
      <c r="F87" s="10">
        <v>0.63</v>
      </c>
      <c r="G87" s="11">
        <v>46200</v>
      </c>
      <c r="H87" t="s">
        <v>78</v>
      </c>
      <c r="I87" t="s">
        <v>61</v>
      </c>
    </row>
    <row r="88" spans="1:9" x14ac:dyDescent="0.25">
      <c r="A88" t="s">
        <v>494</v>
      </c>
      <c r="B88" t="s">
        <v>397</v>
      </c>
      <c r="C88" t="s">
        <v>357</v>
      </c>
      <c r="D88" t="s">
        <v>191</v>
      </c>
      <c r="E88" t="s">
        <v>358</v>
      </c>
      <c r="F88" s="10">
        <v>0.51</v>
      </c>
      <c r="G88" s="11">
        <v>46148</v>
      </c>
      <c r="H88" t="s">
        <v>91</v>
      </c>
      <c r="I88" t="s">
        <v>74</v>
      </c>
    </row>
    <row r="89" spans="1:9" x14ac:dyDescent="0.25">
      <c r="A89" t="s">
        <v>495</v>
      </c>
      <c r="B89" t="s">
        <v>496</v>
      </c>
      <c r="C89" t="s">
        <v>357</v>
      </c>
      <c r="D89" t="s">
        <v>209</v>
      </c>
      <c r="E89" t="s">
        <v>391</v>
      </c>
      <c r="F89" s="10">
        <v>0.51</v>
      </c>
      <c r="G89" s="11">
        <v>46071</v>
      </c>
      <c r="H89" t="s">
        <v>65</v>
      </c>
      <c r="I89" t="s">
        <v>61</v>
      </c>
    </row>
    <row r="90" spans="1:9" x14ac:dyDescent="0.25">
      <c r="A90" t="s">
        <v>497</v>
      </c>
      <c r="B90" t="s">
        <v>498</v>
      </c>
      <c r="C90" t="s">
        <v>357</v>
      </c>
      <c r="D90" t="s">
        <v>204</v>
      </c>
      <c r="E90" t="s">
        <v>408</v>
      </c>
      <c r="F90" s="10">
        <v>0.37</v>
      </c>
      <c r="G90" s="11">
        <v>46153</v>
      </c>
      <c r="H90" t="s">
        <v>60</v>
      </c>
      <c r="I90" t="s">
        <v>74</v>
      </c>
    </row>
    <row r="91" spans="1:9" x14ac:dyDescent="0.25">
      <c r="A91" t="s">
        <v>499</v>
      </c>
      <c r="B91" t="s">
        <v>367</v>
      </c>
      <c r="C91" t="s">
        <v>368</v>
      </c>
      <c r="D91" t="s">
        <v>52</v>
      </c>
      <c r="E91" t="s">
        <v>362</v>
      </c>
      <c r="F91" s="10">
        <v>0.53</v>
      </c>
      <c r="G91" s="11">
        <v>46097</v>
      </c>
      <c r="H91" t="s">
        <v>125</v>
      </c>
      <c r="I91" t="s">
        <v>61</v>
      </c>
    </row>
    <row r="92" spans="1:9" x14ac:dyDescent="0.25">
      <c r="A92" t="s">
        <v>500</v>
      </c>
      <c r="B92" t="s">
        <v>399</v>
      </c>
      <c r="C92" t="s">
        <v>368</v>
      </c>
      <c r="D92" t="s">
        <v>166</v>
      </c>
      <c r="E92" t="s">
        <v>358</v>
      </c>
      <c r="F92" s="10">
        <v>0.96</v>
      </c>
      <c r="G92" s="11">
        <v>46033</v>
      </c>
      <c r="H92" t="s">
        <v>65</v>
      </c>
      <c r="I92" t="s">
        <v>61</v>
      </c>
    </row>
    <row r="93" spans="1:9" x14ac:dyDescent="0.25">
      <c r="A93" t="s">
        <v>501</v>
      </c>
      <c r="B93" t="s">
        <v>410</v>
      </c>
      <c r="C93" t="s">
        <v>382</v>
      </c>
      <c r="D93" t="s">
        <v>321</v>
      </c>
      <c r="E93" t="s">
        <v>358</v>
      </c>
      <c r="F93" s="10">
        <v>0.72</v>
      </c>
      <c r="G93" s="11">
        <v>45970</v>
      </c>
      <c r="H93" t="s">
        <v>159</v>
      </c>
      <c r="I93" t="s">
        <v>66</v>
      </c>
    </row>
    <row r="94" spans="1:9" x14ac:dyDescent="0.25">
      <c r="A94" t="s">
        <v>502</v>
      </c>
      <c r="B94" t="s">
        <v>386</v>
      </c>
      <c r="C94" t="s">
        <v>368</v>
      </c>
      <c r="D94" t="s">
        <v>333</v>
      </c>
      <c r="E94" t="s">
        <v>365</v>
      </c>
      <c r="F94" s="10">
        <v>0.81</v>
      </c>
      <c r="G94" s="11">
        <v>45982</v>
      </c>
      <c r="H94" t="s">
        <v>91</v>
      </c>
      <c r="I94" t="s">
        <v>84</v>
      </c>
    </row>
    <row r="95" spans="1:9" x14ac:dyDescent="0.25">
      <c r="A95" t="s">
        <v>503</v>
      </c>
      <c r="B95" t="s">
        <v>399</v>
      </c>
      <c r="C95" t="s">
        <v>357</v>
      </c>
      <c r="D95" t="s">
        <v>149</v>
      </c>
      <c r="E95" t="s">
        <v>391</v>
      </c>
      <c r="F95" s="10">
        <v>0.51</v>
      </c>
      <c r="G95" s="11">
        <v>46019</v>
      </c>
      <c r="H95" t="s">
        <v>159</v>
      </c>
      <c r="I95" t="s">
        <v>61</v>
      </c>
    </row>
    <row r="96" spans="1:9" x14ac:dyDescent="0.25">
      <c r="A96" t="s">
        <v>504</v>
      </c>
      <c r="B96" t="s">
        <v>405</v>
      </c>
      <c r="C96" t="s">
        <v>368</v>
      </c>
      <c r="D96" t="s">
        <v>285</v>
      </c>
      <c r="E96" t="s">
        <v>369</v>
      </c>
      <c r="F96" s="10">
        <v>0.26</v>
      </c>
      <c r="G96" s="11">
        <v>46099</v>
      </c>
      <c r="H96" t="s">
        <v>91</v>
      </c>
      <c r="I96" t="s">
        <v>56</v>
      </c>
    </row>
    <row r="97" spans="1:9" x14ac:dyDescent="0.25">
      <c r="A97" t="s">
        <v>505</v>
      </c>
      <c r="B97" t="s">
        <v>465</v>
      </c>
      <c r="C97" t="s">
        <v>357</v>
      </c>
      <c r="D97" t="s">
        <v>192</v>
      </c>
      <c r="E97" t="s">
        <v>362</v>
      </c>
      <c r="F97" s="10">
        <v>0.36</v>
      </c>
      <c r="G97" s="11">
        <v>46117</v>
      </c>
      <c r="H97" t="s">
        <v>112</v>
      </c>
      <c r="I97" t="s">
        <v>84</v>
      </c>
    </row>
    <row r="98" spans="1:9" x14ac:dyDescent="0.25">
      <c r="A98" t="s">
        <v>506</v>
      </c>
      <c r="B98" t="s">
        <v>395</v>
      </c>
      <c r="C98" t="s">
        <v>361</v>
      </c>
      <c r="D98" t="s">
        <v>126</v>
      </c>
      <c r="E98" t="s">
        <v>362</v>
      </c>
      <c r="F98" s="10">
        <v>0.67</v>
      </c>
      <c r="G98" s="11">
        <v>46032</v>
      </c>
      <c r="H98" t="s">
        <v>159</v>
      </c>
      <c r="I98" t="s">
        <v>84</v>
      </c>
    </row>
    <row r="99" spans="1:9" x14ac:dyDescent="0.25">
      <c r="A99" t="s">
        <v>507</v>
      </c>
      <c r="B99" t="s">
        <v>367</v>
      </c>
      <c r="C99" t="s">
        <v>368</v>
      </c>
      <c r="D99" t="s">
        <v>336</v>
      </c>
      <c r="E99" t="s">
        <v>369</v>
      </c>
      <c r="F99" s="10">
        <v>0.92</v>
      </c>
      <c r="G99" s="11">
        <v>46046</v>
      </c>
      <c r="H99" t="s">
        <v>159</v>
      </c>
      <c r="I99" t="s">
        <v>84</v>
      </c>
    </row>
    <row r="100" spans="1:9" x14ac:dyDescent="0.25">
      <c r="A100" t="s">
        <v>508</v>
      </c>
      <c r="B100" t="s">
        <v>367</v>
      </c>
      <c r="C100" t="s">
        <v>368</v>
      </c>
      <c r="D100" t="s">
        <v>329</v>
      </c>
      <c r="E100" t="s">
        <v>419</v>
      </c>
      <c r="F100" s="10">
        <v>0.36</v>
      </c>
      <c r="G100" s="11">
        <v>46062</v>
      </c>
      <c r="H100" t="s">
        <v>159</v>
      </c>
      <c r="I100" t="s">
        <v>61</v>
      </c>
    </row>
    <row r="101" spans="1:9" x14ac:dyDescent="0.25">
      <c r="A101" t="s">
        <v>509</v>
      </c>
      <c r="B101" t="s">
        <v>364</v>
      </c>
      <c r="C101" t="s">
        <v>361</v>
      </c>
      <c r="D101" t="s">
        <v>331</v>
      </c>
      <c r="E101" t="s">
        <v>419</v>
      </c>
      <c r="F101" s="10">
        <v>0.59</v>
      </c>
      <c r="G101" s="11">
        <v>46226</v>
      </c>
      <c r="H101" t="s">
        <v>98</v>
      </c>
      <c r="I101" t="s">
        <v>84</v>
      </c>
    </row>
    <row r="102" spans="1:9" x14ac:dyDescent="0.25">
      <c r="A102" t="s">
        <v>510</v>
      </c>
      <c r="B102" t="s">
        <v>511</v>
      </c>
      <c r="C102" t="s">
        <v>361</v>
      </c>
      <c r="D102" t="s">
        <v>121</v>
      </c>
      <c r="E102" t="s">
        <v>365</v>
      </c>
      <c r="F102" s="10">
        <v>0.28000000000000003</v>
      </c>
      <c r="G102" s="11">
        <v>46018</v>
      </c>
      <c r="H102" t="s">
        <v>73</v>
      </c>
      <c r="I102" t="s">
        <v>61</v>
      </c>
    </row>
    <row r="103" spans="1:9" x14ac:dyDescent="0.25">
      <c r="A103" t="s">
        <v>512</v>
      </c>
      <c r="B103" t="s">
        <v>437</v>
      </c>
      <c r="C103" t="s">
        <v>357</v>
      </c>
      <c r="D103" t="s">
        <v>211</v>
      </c>
      <c r="E103" t="s">
        <v>391</v>
      </c>
      <c r="F103" s="10">
        <v>0.44</v>
      </c>
      <c r="G103" s="11">
        <v>45892</v>
      </c>
      <c r="H103" t="s">
        <v>91</v>
      </c>
      <c r="I103" t="s">
        <v>74</v>
      </c>
    </row>
    <row r="104" spans="1:9" x14ac:dyDescent="0.25">
      <c r="A104" t="s">
        <v>513</v>
      </c>
      <c r="B104" t="s">
        <v>448</v>
      </c>
      <c r="C104" t="s">
        <v>368</v>
      </c>
      <c r="D104" t="s">
        <v>347</v>
      </c>
      <c r="E104" t="s">
        <v>369</v>
      </c>
      <c r="F104" s="10">
        <v>0.78</v>
      </c>
      <c r="G104" s="11">
        <v>46000</v>
      </c>
      <c r="H104" t="s">
        <v>112</v>
      </c>
      <c r="I104" t="s">
        <v>74</v>
      </c>
    </row>
    <row r="105" spans="1:9" x14ac:dyDescent="0.25">
      <c r="A105" t="s">
        <v>514</v>
      </c>
      <c r="B105" t="s">
        <v>379</v>
      </c>
      <c r="C105" t="s">
        <v>357</v>
      </c>
      <c r="D105" t="s">
        <v>303</v>
      </c>
      <c r="E105" t="s">
        <v>365</v>
      </c>
      <c r="F105" s="10">
        <v>0.92</v>
      </c>
      <c r="G105" s="11">
        <v>46011</v>
      </c>
      <c r="H105" t="s">
        <v>55</v>
      </c>
      <c r="I105" t="s">
        <v>56</v>
      </c>
    </row>
    <row r="106" spans="1:9" x14ac:dyDescent="0.25">
      <c r="A106" t="s">
        <v>515</v>
      </c>
      <c r="B106" t="s">
        <v>432</v>
      </c>
      <c r="C106" t="s">
        <v>361</v>
      </c>
      <c r="D106" t="s">
        <v>99</v>
      </c>
      <c r="E106" t="s">
        <v>408</v>
      </c>
      <c r="F106" s="10">
        <v>0.78</v>
      </c>
      <c r="G106" s="11">
        <v>46020</v>
      </c>
      <c r="H106" t="s">
        <v>98</v>
      </c>
      <c r="I106" t="s">
        <v>56</v>
      </c>
    </row>
    <row r="107" spans="1:9" x14ac:dyDescent="0.25">
      <c r="A107" t="s">
        <v>516</v>
      </c>
      <c r="B107" t="s">
        <v>437</v>
      </c>
      <c r="C107" t="s">
        <v>361</v>
      </c>
      <c r="D107" t="s">
        <v>291</v>
      </c>
      <c r="E107" t="s">
        <v>419</v>
      </c>
      <c r="F107" s="10">
        <v>0.23</v>
      </c>
      <c r="G107" s="11">
        <v>46001</v>
      </c>
      <c r="H107" t="s">
        <v>65</v>
      </c>
      <c r="I107" t="s">
        <v>56</v>
      </c>
    </row>
    <row r="108" spans="1:9" x14ac:dyDescent="0.25">
      <c r="A108" t="s">
        <v>517</v>
      </c>
      <c r="B108" t="s">
        <v>518</v>
      </c>
      <c r="C108" t="s">
        <v>357</v>
      </c>
      <c r="D108" t="s">
        <v>113</v>
      </c>
      <c r="E108" t="s">
        <v>391</v>
      </c>
      <c r="F108" s="10">
        <v>0.23</v>
      </c>
      <c r="G108" s="11">
        <v>45995</v>
      </c>
      <c r="H108" t="s">
        <v>112</v>
      </c>
      <c r="I108" t="s">
        <v>56</v>
      </c>
    </row>
    <row r="109" spans="1:9" x14ac:dyDescent="0.25">
      <c r="A109" t="s">
        <v>519</v>
      </c>
      <c r="B109" t="s">
        <v>375</v>
      </c>
      <c r="C109" t="s">
        <v>361</v>
      </c>
      <c r="D109" t="s">
        <v>128</v>
      </c>
      <c r="E109" t="s">
        <v>391</v>
      </c>
      <c r="F109" s="10">
        <v>0.86</v>
      </c>
      <c r="G109" s="11">
        <v>45918</v>
      </c>
      <c r="H109" t="s">
        <v>98</v>
      </c>
      <c r="I109" t="s">
        <v>56</v>
      </c>
    </row>
    <row r="110" spans="1:9" x14ac:dyDescent="0.25">
      <c r="A110" t="s">
        <v>520</v>
      </c>
      <c r="B110" t="s">
        <v>360</v>
      </c>
      <c r="C110" t="s">
        <v>361</v>
      </c>
      <c r="D110" t="s">
        <v>124</v>
      </c>
      <c r="E110" t="s">
        <v>362</v>
      </c>
      <c r="F110" s="10">
        <v>0.88</v>
      </c>
      <c r="G110" s="11">
        <v>46118</v>
      </c>
      <c r="H110" t="s">
        <v>73</v>
      </c>
      <c r="I110" t="s">
        <v>84</v>
      </c>
    </row>
    <row r="111" spans="1:9" x14ac:dyDescent="0.25">
      <c r="A111" t="s">
        <v>521</v>
      </c>
      <c r="B111" t="s">
        <v>443</v>
      </c>
      <c r="C111" t="s">
        <v>357</v>
      </c>
      <c r="D111" t="s">
        <v>117</v>
      </c>
      <c r="E111" t="s">
        <v>365</v>
      </c>
      <c r="F111" s="10">
        <v>0.61</v>
      </c>
      <c r="G111" s="11">
        <v>46090</v>
      </c>
      <c r="H111" t="s">
        <v>73</v>
      </c>
      <c r="I111" t="s">
        <v>66</v>
      </c>
    </row>
    <row r="112" spans="1:9" x14ac:dyDescent="0.25">
      <c r="A112" t="s">
        <v>522</v>
      </c>
      <c r="B112" t="s">
        <v>395</v>
      </c>
      <c r="C112" t="s">
        <v>357</v>
      </c>
      <c r="D112" t="s">
        <v>208</v>
      </c>
      <c r="E112" t="s">
        <v>362</v>
      </c>
      <c r="F112" s="10">
        <v>0.66</v>
      </c>
      <c r="G112" s="11">
        <v>46125</v>
      </c>
      <c r="H112" t="s">
        <v>91</v>
      </c>
      <c r="I112" t="s">
        <v>66</v>
      </c>
    </row>
    <row r="113" spans="1:9" x14ac:dyDescent="0.25">
      <c r="A113" t="s">
        <v>523</v>
      </c>
      <c r="B113" t="s">
        <v>397</v>
      </c>
      <c r="C113" t="s">
        <v>368</v>
      </c>
      <c r="D113" t="s">
        <v>101</v>
      </c>
      <c r="E113" t="s">
        <v>373</v>
      </c>
      <c r="F113" s="10">
        <v>0.75</v>
      </c>
      <c r="G113" s="11">
        <v>46026</v>
      </c>
      <c r="H113" t="s">
        <v>98</v>
      </c>
      <c r="I113" t="s">
        <v>61</v>
      </c>
    </row>
    <row r="114" spans="1:9" x14ac:dyDescent="0.25">
      <c r="A114" t="s">
        <v>524</v>
      </c>
      <c r="B114" t="s">
        <v>437</v>
      </c>
      <c r="C114" t="s">
        <v>368</v>
      </c>
      <c r="D114" t="s">
        <v>221</v>
      </c>
      <c r="E114" t="s">
        <v>419</v>
      </c>
      <c r="F114" s="10">
        <v>0.91</v>
      </c>
      <c r="G114" s="11">
        <v>46026</v>
      </c>
      <c r="H114" t="s">
        <v>125</v>
      </c>
      <c r="I114" t="s">
        <v>56</v>
      </c>
    </row>
    <row r="115" spans="1:9" x14ac:dyDescent="0.25">
      <c r="A115" t="s">
        <v>525</v>
      </c>
      <c r="B115" t="s">
        <v>518</v>
      </c>
      <c r="C115" t="s">
        <v>382</v>
      </c>
      <c r="D115" t="s">
        <v>270</v>
      </c>
      <c r="E115" t="s">
        <v>365</v>
      </c>
      <c r="F115" s="10">
        <v>0.28999999999999998</v>
      </c>
      <c r="G115" s="11">
        <v>45872</v>
      </c>
      <c r="H115" t="s">
        <v>73</v>
      </c>
      <c r="I115" t="s">
        <v>61</v>
      </c>
    </row>
    <row r="116" spans="1:9" x14ac:dyDescent="0.25">
      <c r="A116" t="s">
        <v>526</v>
      </c>
      <c r="B116" t="s">
        <v>511</v>
      </c>
      <c r="C116" t="s">
        <v>361</v>
      </c>
      <c r="D116" t="s">
        <v>88</v>
      </c>
      <c r="E116" t="s">
        <v>408</v>
      </c>
      <c r="F116" s="10">
        <v>0.77</v>
      </c>
      <c r="G116" s="11">
        <v>46105</v>
      </c>
      <c r="H116" t="s">
        <v>73</v>
      </c>
      <c r="I116" t="s">
        <v>56</v>
      </c>
    </row>
    <row r="117" spans="1:9" x14ac:dyDescent="0.25">
      <c r="A117" t="s">
        <v>527</v>
      </c>
      <c r="B117" t="s">
        <v>415</v>
      </c>
      <c r="C117" t="s">
        <v>382</v>
      </c>
      <c r="D117" t="s">
        <v>293</v>
      </c>
      <c r="E117" t="s">
        <v>365</v>
      </c>
      <c r="F117" s="10">
        <v>0.91</v>
      </c>
      <c r="G117" s="11">
        <v>46050</v>
      </c>
      <c r="H117" t="s">
        <v>125</v>
      </c>
      <c r="I117" t="s">
        <v>61</v>
      </c>
    </row>
    <row r="118" spans="1:9" x14ac:dyDescent="0.25">
      <c r="A118" t="s">
        <v>528</v>
      </c>
      <c r="B118" t="s">
        <v>498</v>
      </c>
      <c r="C118" t="s">
        <v>368</v>
      </c>
      <c r="D118" t="s">
        <v>151</v>
      </c>
      <c r="E118" t="s">
        <v>408</v>
      </c>
      <c r="F118" s="10">
        <v>0.39</v>
      </c>
      <c r="G118" s="11">
        <v>46190</v>
      </c>
      <c r="H118" t="s">
        <v>78</v>
      </c>
      <c r="I118" t="s">
        <v>66</v>
      </c>
    </row>
    <row r="119" spans="1:9" x14ac:dyDescent="0.25">
      <c r="A119" t="s">
        <v>529</v>
      </c>
      <c r="B119" t="s">
        <v>484</v>
      </c>
      <c r="C119" t="s">
        <v>357</v>
      </c>
      <c r="D119" t="s">
        <v>239</v>
      </c>
      <c r="E119" t="s">
        <v>391</v>
      </c>
      <c r="F119" s="10">
        <v>0.41</v>
      </c>
      <c r="G119" s="11">
        <v>46158</v>
      </c>
      <c r="H119" t="s">
        <v>60</v>
      </c>
      <c r="I119" t="s">
        <v>61</v>
      </c>
    </row>
    <row r="120" spans="1:9" x14ac:dyDescent="0.25">
      <c r="A120" t="s">
        <v>530</v>
      </c>
      <c r="B120" t="s">
        <v>498</v>
      </c>
      <c r="C120" t="s">
        <v>368</v>
      </c>
      <c r="D120" t="s">
        <v>147</v>
      </c>
      <c r="E120" t="s">
        <v>369</v>
      </c>
      <c r="F120" s="10">
        <v>0.9</v>
      </c>
      <c r="G120" s="11">
        <v>46016</v>
      </c>
      <c r="H120" t="s">
        <v>125</v>
      </c>
      <c r="I120" t="s">
        <v>74</v>
      </c>
    </row>
    <row r="121" spans="1:9" x14ac:dyDescent="0.25">
      <c r="A121" t="s">
        <v>531</v>
      </c>
      <c r="B121" t="s">
        <v>432</v>
      </c>
      <c r="C121" t="s">
        <v>382</v>
      </c>
      <c r="D121" t="s">
        <v>200</v>
      </c>
      <c r="E121" t="s">
        <v>358</v>
      </c>
      <c r="F121" s="10">
        <v>0.87</v>
      </c>
      <c r="G121" s="11">
        <v>46070</v>
      </c>
      <c r="H121" t="s">
        <v>65</v>
      </c>
      <c r="I121" t="s">
        <v>84</v>
      </c>
    </row>
    <row r="122" spans="1:9" x14ac:dyDescent="0.25">
      <c r="A122" t="s">
        <v>532</v>
      </c>
      <c r="B122" t="s">
        <v>462</v>
      </c>
      <c r="C122" t="s">
        <v>361</v>
      </c>
      <c r="D122" t="s">
        <v>239</v>
      </c>
      <c r="E122" t="s">
        <v>362</v>
      </c>
      <c r="F122" s="10">
        <v>0.45</v>
      </c>
      <c r="G122" s="11">
        <v>45959</v>
      </c>
      <c r="H122" t="s">
        <v>112</v>
      </c>
      <c r="I122" t="s">
        <v>56</v>
      </c>
    </row>
    <row r="123" spans="1:9" x14ac:dyDescent="0.25">
      <c r="A123" t="s">
        <v>533</v>
      </c>
      <c r="B123" t="s">
        <v>375</v>
      </c>
      <c r="C123" t="s">
        <v>382</v>
      </c>
      <c r="D123" t="s">
        <v>327</v>
      </c>
      <c r="E123" t="s">
        <v>362</v>
      </c>
      <c r="F123" s="10">
        <v>0.49</v>
      </c>
      <c r="G123" s="11">
        <v>45933</v>
      </c>
      <c r="H123" t="s">
        <v>78</v>
      </c>
      <c r="I123" t="s">
        <v>61</v>
      </c>
    </row>
    <row r="124" spans="1:9" x14ac:dyDescent="0.25">
      <c r="A124" t="s">
        <v>534</v>
      </c>
      <c r="B124" t="s">
        <v>487</v>
      </c>
      <c r="C124" t="s">
        <v>368</v>
      </c>
      <c r="D124" t="s">
        <v>347</v>
      </c>
      <c r="E124" t="s">
        <v>358</v>
      </c>
      <c r="F124" s="10">
        <v>0.56999999999999995</v>
      </c>
      <c r="G124" s="11">
        <v>45938</v>
      </c>
      <c r="H124" t="s">
        <v>98</v>
      </c>
      <c r="I124" t="s">
        <v>66</v>
      </c>
    </row>
    <row r="125" spans="1:9" x14ac:dyDescent="0.25">
      <c r="A125" t="s">
        <v>535</v>
      </c>
      <c r="B125" t="s">
        <v>364</v>
      </c>
      <c r="C125" t="s">
        <v>361</v>
      </c>
      <c r="D125" t="s">
        <v>92</v>
      </c>
      <c r="E125" t="s">
        <v>362</v>
      </c>
      <c r="F125" s="10">
        <v>0.95</v>
      </c>
      <c r="G125" s="11">
        <v>46166</v>
      </c>
      <c r="H125" t="s">
        <v>98</v>
      </c>
      <c r="I125" t="s">
        <v>66</v>
      </c>
    </row>
    <row r="126" spans="1:9" x14ac:dyDescent="0.25">
      <c r="A126" t="s">
        <v>536</v>
      </c>
      <c r="B126" t="s">
        <v>470</v>
      </c>
      <c r="C126" t="s">
        <v>361</v>
      </c>
      <c r="D126" t="s">
        <v>257</v>
      </c>
      <c r="E126" t="s">
        <v>373</v>
      </c>
      <c r="F126" s="10">
        <v>0.61</v>
      </c>
      <c r="G126" s="11">
        <v>46144</v>
      </c>
      <c r="H126" t="s">
        <v>55</v>
      </c>
      <c r="I126" t="s">
        <v>74</v>
      </c>
    </row>
    <row r="127" spans="1:9" x14ac:dyDescent="0.25">
      <c r="A127" t="s">
        <v>537</v>
      </c>
      <c r="B127" t="s">
        <v>511</v>
      </c>
      <c r="C127" t="s">
        <v>361</v>
      </c>
      <c r="D127" t="s">
        <v>333</v>
      </c>
      <c r="E127" t="s">
        <v>369</v>
      </c>
      <c r="F127" s="10">
        <v>0.86</v>
      </c>
      <c r="G127" s="11">
        <v>46005</v>
      </c>
      <c r="H127" t="s">
        <v>65</v>
      </c>
      <c r="I127" t="s">
        <v>66</v>
      </c>
    </row>
    <row r="128" spans="1:9" x14ac:dyDescent="0.25">
      <c r="A128" t="s">
        <v>538</v>
      </c>
      <c r="B128" t="s">
        <v>437</v>
      </c>
      <c r="C128" t="s">
        <v>357</v>
      </c>
      <c r="D128" t="s">
        <v>261</v>
      </c>
      <c r="E128" t="s">
        <v>391</v>
      </c>
      <c r="F128" s="10">
        <v>0.91</v>
      </c>
      <c r="G128" s="11">
        <v>45949</v>
      </c>
      <c r="H128" t="s">
        <v>159</v>
      </c>
      <c r="I128" t="s">
        <v>61</v>
      </c>
    </row>
    <row r="129" spans="1:9" x14ac:dyDescent="0.25">
      <c r="A129" t="s">
        <v>539</v>
      </c>
      <c r="B129" t="s">
        <v>441</v>
      </c>
      <c r="C129" t="s">
        <v>382</v>
      </c>
      <c r="D129" t="s">
        <v>338</v>
      </c>
      <c r="E129" t="s">
        <v>391</v>
      </c>
      <c r="F129" s="10">
        <v>0.68</v>
      </c>
      <c r="G129" s="11">
        <v>46053</v>
      </c>
      <c r="H129" t="s">
        <v>78</v>
      </c>
      <c r="I129" t="s">
        <v>66</v>
      </c>
    </row>
    <row r="130" spans="1:9" x14ac:dyDescent="0.25">
      <c r="A130" t="s">
        <v>540</v>
      </c>
      <c r="B130" t="s">
        <v>372</v>
      </c>
      <c r="C130" t="s">
        <v>382</v>
      </c>
      <c r="D130" t="s">
        <v>246</v>
      </c>
      <c r="E130" t="s">
        <v>391</v>
      </c>
      <c r="F130" s="10">
        <v>0.4</v>
      </c>
      <c r="G130" s="11">
        <v>46093</v>
      </c>
      <c r="H130" t="s">
        <v>73</v>
      </c>
      <c r="I130" t="s">
        <v>66</v>
      </c>
    </row>
    <row r="131" spans="1:9" x14ac:dyDescent="0.25">
      <c r="A131" t="s">
        <v>541</v>
      </c>
      <c r="B131" t="s">
        <v>462</v>
      </c>
      <c r="C131" t="s">
        <v>357</v>
      </c>
      <c r="D131" t="s">
        <v>295</v>
      </c>
      <c r="E131" t="s">
        <v>373</v>
      </c>
      <c r="F131" s="10">
        <v>0.23</v>
      </c>
      <c r="G131" s="11">
        <v>46091</v>
      </c>
      <c r="H131" t="s">
        <v>60</v>
      </c>
      <c r="I131" t="s">
        <v>74</v>
      </c>
    </row>
    <row r="132" spans="1:9" x14ac:dyDescent="0.25">
      <c r="A132" t="s">
        <v>542</v>
      </c>
      <c r="B132" t="s">
        <v>405</v>
      </c>
      <c r="C132" t="s">
        <v>382</v>
      </c>
      <c r="D132" t="s">
        <v>153</v>
      </c>
      <c r="E132" t="s">
        <v>369</v>
      </c>
      <c r="F132" s="10">
        <v>0.63</v>
      </c>
      <c r="G132" s="11">
        <v>46130</v>
      </c>
      <c r="H132" t="s">
        <v>159</v>
      </c>
      <c r="I132" t="s">
        <v>66</v>
      </c>
    </row>
    <row r="133" spans="1:9" x14ac:dyDescent="0.25">
      <c r="A133" t="s">
        <v>543</v>
      </c>
      <c r="B133" t="s">
        <v>446</v>
      </c>
      <c r="C133" t="s">
        <v>368</v>
      </c>
      <c r="D133" t="s">
        <v>169</v>
      </c>
      <c r="E133" t="s">
        <v>358</v>
      </c>
      <c r="F133" s="10">
        <v>0.37</v>
      </c>
      <c r="G133" s="11">
        <v>46175</v>
      </c>
      <c r="H133" t="s">
        <v>125</v>
      </c>
      <c r="I133" t="s">
        <v>61</v>
      </c>
    </row>
    <row r="134" spans="1:9" x14ac:dyDescent="0.25">
      <c r="A134" t="s">
        <v>544</v>
      </c>
      <c r="B134" t="s">
        <v>545</v>
      </c>
      <c r="C134" t="s">
        <v>357</v>
      </c>
      <c r="D134" t="s">
        <v>249</v>
      </c>
      <c r="E134" t="s">
        <v>408</v>
      </c>
      <c r="F134" s="10">
        <v>0.95</v>
      </c>
      <c r="G134" s="11">
        <v>45887</v>
      </c>
      <c r="H134" t="s">
        <v>98</v>
      </c>
      <c r="I134" t="s">
        <v>66</v>
      </c>
    </row>
    <row r="135" spans="1:9" x14ac:dyDescent="0.25">
      <c r="A135" t="s">
        <v>546</v>
      </c>
      <c r="B135" t="s">
        <v>465</v>
      </c>
      <c r="C135" t="s">
        <v>361</v>
      </c>
      <c r="D135" t="s">
        <v>247</v>
      </c>
      <c r="E135" t="s">
        <v>419</v>
      </c>
      <c r="F135" s="10">
        <v>0.54</v>
      </c>
      <c r="G135" s="11">
        <v>45905</v>
      </c>
      <c r="H135" t="s">
        <v>65</v>
      </c>
      <c r="I135" t="s">
        <v>66</v>
      </c>
    </row>
    <row r="136" spans="1:9" x14ac:dyDescent="0.25">
      <c r="A136" t="s">
        <v>547</v>
      </c>
      <c r="B136" t="s">
        <v>407</v>
      </c>
      <c r="C136" t="s">
        <v>357</v>
      </c>
      <c r="D136" t="s">
        <v>330</v>
      </c>
      <c r="E136" t="s">
        <v>358</v>
      </c>
      <c r="F136" s="10">
        <v>0.88</v>
      </c>
      <c r="G136" s="11">
        <v>46196</v>
      </c>
      <c r="H136" t="s">
        <v>60</v>
      </c>
      <c r="I136" t="s">
        <v>74</v>
      </c>
    </row>
    <row r="137" spans="1:9" x14ac:dyDescent="0.25">
      <c r="A137" t="s">
        <v>548</v>
      </c>
      <c r="B137" t="s">
        <v>360</v>
      </c>
      <c r="C137" t="s">
        <v>382</v>
      </c>
      <c r="D137" t="s">
        <v>110</v>
      </c>
      <c r="E137" t="s">
        <v>369</v>
      </c>
      <c r="F137" s="10">
        <v>0.37</v>
      </c>
      <c r="G137" s="11">
        <v>45883</v>
      </c>
      <c r="H137" t="s">
        <v>60</v>
      </c>
      <c r="I137" t="s">
        <v>56</v>
      </c>
    </row>
    <row r="138" spans="1:9" x14ac:dyDescent="0.25">
      <c r="A138" t="s">
        <v>549</v>
      </c>
      <c r="B138" t="s">
        <v>446</v>
      </c>
      <c r="C138" t="s">
        <v>361</v>
      </c>
      <c r="D138" t="s">
        <v>298</v>
      </c>
      <c r="E138" t="s">
        <v>408</v>
      </c>
      <c r="F138" s="10">
        <v>0.97</v>
      </c>
      <c r="G138" s="11">
        <v>45972</v>
      </c>
      <c r="H138" t="s">
        <v>91</v>
      </c>
      <c r="I138" t="s">
        <v>56</v>
      </c>
    </row>
    <row r="139" spans="1:9" x14ac:dyDescent="0.25">
      <c r="A139" t="s">
        <v>550</v>
      </c>
      <c r="B139" t="s">
        <v>551</v>
      </c>
      <c r="C139" t="s">
        <v>361</v>
      </c>
      <c r="D139" t="s">
        <v>227</v>
      </c>
      <c r="E139" t="s">
        <v>373</v>
      </c>
      <c r="F139" s="10">
        <v>0.51</v>
      </c>
      <c r="G139" s="11">
        <v>45891</v>
      </c>
      <c r="H139" t="s">
        <v>159</v>
      </c>
      <c r="I139" t="s">
        <v>61</v>
      </c>
    </row>
    <row r="140" spans="1:9" x14ac:dyDescent="0.25">
      <c r="A140" t="s">
        <v>552</v>
      </c>
      <c r="B140" t="s">
        <v>446</v>
      </c>
      <c r="C140" t="s">
        <v>382</v>
      </c>
      <c r="D140" t="s">
        <v>330</v>
      </c>
      <c r="E140" t="s">
        <v>365</v>
      </c>
      <c r="F140" s="10">
        <v>0.36</v>
      </c>
      <c r="G140" s="11">
        <v>46227</v>
      </c>
      <c r="H140" t="s">
        <v>91</v>
      </c>
      <c r="I140" t="s">
        <v>74</v>
      </c>
    </row>
    <row r="141" spans="1:9" x14ac:dyDescent="0.25">
      <c r="A141" t="s">
        <v>553</v>
      </c>
      <c r="B141" t="s">
        <v>397</v>
      </c>
      <c r="C141" t="s">
        <v>357</v>
      </c>
      <c r="D141" t="s">
        <v>263</v>
      </c>
      <c r="E141" t="s">
        <v>419</v>
      </c>
      <c r="F141" s="10">
        <v>1</v>
      </c>
      <c r="G141" s="11">
        <v>45985</v>
      </c>
      <c r="H141" t="s">
        <v>73</v>
      </c>
      <c r="I141" t="s">
        <v>74</v>
      </c>
    </row>
    <row r="142" spans="1:9" x14ac:dyDescent="0.25">
      <c r="A142" t="s">
        <v>554</v>
      </c>
      <c r="B142" t="s">
        <v>437</v>
      </c>
      <c r="C142" t="s">
        <v>368</v>
      </c>
      <c r="D142" t="s">
        <v>198</v>
      </c>
      <c r="E142" t="s">
        <v>365</v>
      </c>
      <c r="F142" s="10">
        <v>0.79</v>
      </c>
      <c r="G142" s="11">
        <v>46060</v>
      </c>
      <c r="H142" t="s">
        <v>73</v>
      </c>
      <c r="I142" t="s">
        <v>66</v>
      </c>
    </row>
    <row r="143" spans="1:9" x14ac:dyDescent="0.25">
      <c r="A143" t="s">
        <v>555</v>
      </c>
      <c r="B143" t="s">
        <v>448</v>
      </c>
      <c r="C143" t="s">
        <v>357</v>
      </c>
      <c r="D143" t="s">
        <v>273</v>
      </c>
      <c r="E143" t="s">
        <v>365</v>
      </c>
      <c r="F143" s="10">
        <v>0.46</v>
      </c>
      <c r="G143" s="11">
        <v>46130</v>
      </c>
      <c r="H143" t="s">
        <v>55</v>
      </c>
      <c r="I143" t="s">
        <v>61</v>
      </c>
    </row>
    <row r="144" spans="1:9" x14ac:dyDescent="0.25">
      <c r="A144" t="s">
        <v>556</v>
      </c>
      <c r="B144" t="s">
        <v>390</v>
      </c>
      <c r="C144" t="s">
        <v>368</v>
      </c>
      <c r="D144" t="s">
        <v>199</v>
      </c>
      <c r="E144" t="s">
        <v>408</v>
      </c>
      <c r="F144" s="10">
        <v>0.2</v>
      </c>
      <c r="G144" s="11">
        <v>45937</v>
      </c>
      <c r="H144" t="s">
        <v>91</v>
      </c>
      <c r="I144" t="s">
        <v>84</v>
      </c>
    </row>
    <row r="145" spans="1:9" x14ac:dyDescent="0.25">
      <c r="A145" t="s">
        <v>557</v>
      </c>
      <c r="B145" t="s">
        <v>405</v>
      </c>
      <c r="C145" t="s">
        <v>368</v>
      </c>
      <c r="D145" t="s">
        <v>62</v>
      </c>
      <c r="E145" t="s">
        <v>365</v>
      </c>
      <c r="F145" s="10">
        <v>0.96</v>
      </c>
      <c r="G145" s="11">
        <v>46198</v>
      </c>
      <c r="H145" t="s">
        <v>159</v>
      </c>
      <c r="I145" t="s">
        <v>74</v>
      </c>
    </row>
    <row r="146" spans="1:9" x14ac:dyDescent="0.25">
      <c r="A146" t="s">
        <v>558</v>
      </c>
      <c r="B146" t="s">
        <v>470</v>
      </c>
      <c r="C146" t="s">
        <v>382</v>
      </c>
      <c r="D146" t="s">
        <v>221</v>
      </c>
      <c r="E146" t="s">
        <v>369</v>
      </c>
      <c r="F146" s="10">
        <v>0.75</v>
      </c>
      <c r="G146" s="11">
        <v>45868</v>
      </c>
      <c r="H146" t="s">
        <v>55</v>
      </c>
      <c r="I146" t="s">
        <v>66</v>
      </c>
    </row>
    <row r="147" spans="1:9" x14ac:dyDescent="0.25">
      <c r="A147" t="s">
        <v>559</v>
      </c>
      <c r="B147" t="s">
        <v>356</v>
      </c>
      <c r="C147" t="s">
        <v>361</v>
      </c>
      <c r="D147" t="s">
        <v>180</v>
      </c>
      <c r="E147" t="s">
        <v>369</v>
      </c>
      <c r="F147" s="10">
        <v>0.72</v>
      </c>
      <c r="G147" s="11">
        <v>45972</v>
      </c>
      <c r="H147" t="s">
        <v>65</v>
      </c>
      <c r="I147" t="s">
        <v>56</v>
      </c>
    </row>
    <row r="148" spans="1:9" x14ac:dyDescent="0.25">
      <c r="A148" t="s">
        <v>560</v>
      </c>
      <c r="B148" t="s">
        <v>393</v>
      </c>
      <c r="C148" t="s">
        <v>368</v>
      </c>
      <c r="D148" t="s">
        <v>208</v>
      </c>
      <c r="E148" t="s">
        <v>369</v>
      </c>
      <c r="F148" s="10">
        <v>0.75</v>
      </c>
      <c r="G148" s="11">
        <v>46137</v>
      </c>
      <c r="H148" t="s">
        <v>65</v>
      </c>
      <c r="I148" t="s">
        <v>74</v>
      </c>
    </row>
    <row r="149" spans="1:9" x14ac:dyDescent="0.25">
      <c r="A149" t="s">
        <v>561</v>
      </c>
      <c r="B149" t="s">
        <v>405</v>
      </c>
      <c r="C149" t="s">
        <v>361</v>
      </c>
      <c r="D149" t="s">
        <v>210</v>
      </c>
      <c r="E149" t="s">
        <v>408</v>
      </c>
      <c r="F149" s="10">
        <v>0.6</v>
      </c>
      <c r="G149" s="11">
        <v>45871</v>
      </c>
      <c r="H149" t="s">
        <v>91</v>
      </c>
      <c r="I149" t="s">
        <v>56</v>
      </c>
    </row>
    <row r="150" spans="1:9" x14ac:dyDescent="0.25">
      <c r="A150" t="s">
        <v>562</v>
      </c>
      <c r="B150" t="s">
        <v>454</v>
      </c>
      <c r="C150" t="s">
        <v>368</v>
      </c>
      <c r="D150" t="s">
        <v>157</v>
      </c>
      <c r="E150" t="s">
        <v>365</v>
      </c>
      <c r="F150" s="10">
        <v>0.35</v>
      </c>
      <c r="G150" s="11">
        <v>46205</v>
      </c>
      <c r="H150" t="s">
        <v>60</v>
      </c>
      <c r="I150" t="s">
        <v>84</v>
      </c>
    </row>
    <row r="151" spans="1:9" x14ac:dyDescent="0.25">
      <c r="A151" t="s">
        <v>563</v>
      </c>
      <c r="B151" t="s">
        <v>364</v>
      </c>
      <c r="C151" t="s">
        <v>357</v>
      </c>
      <c r="D151" t="s">
        <v>233</v>
      </c>
      <c r="E151" t="s">
        <v>373</v>
      </c>
      <c r="F151" s="10">
        <v>0.82</v>
      </c>
      <c r="G151" s="11">
        <v>46225</v>
      </c>
      <c r="H151" t="s">
        <v>159</v>
      </c>
      <c r="I151" t="s">
        <v>66</v>
      </c>
    </row>
    <row r="152" spans="1:9" x14ac:dyDescent="0.25">
      <c r="A152" t="s">
        <v>564</v>
      </c>
      <c r="B152" t="s">
        <v>551</v>
      </c>
      <c r="C152" t="s">
        <v>357</v>
      </c>
      <c r="D152" t="s">
        <v>146</v>
      </c>
      <c r="E152" t="s">
        <v>373</v>
      </c>
      <c r="F152" s="10">
        <v>0.71</v>
      </c>
      <c r="G152" s="11">
        <v>46175</v>
      </c>
      <c r="H152" t="s">
        <v>159</v>
      </c>
      <c r="I152" t="s">
        <v>74</v>
      </c>
    </row>
    <row r="153" spans="1:9" x14ac:dyDescent="0.25">
      <c r="A153" t="s">
        <v>565</v>
      </c>
      <c r="B153" t="s">
        <v>375</v>
      </c>
      <c r="C153" t="s">
        <v>382</v>
      </c>
      <c r="D153" t="s">
        <v>341</v>
      </c>
      <c r="E153" t="s">
        <v>373</v>
      </c>
      <c r="F153" s="10">
        <v>0.23</v>
      </c>
      <c r="G153" s="11">
        <v>46178</v>
      </c>
      <c r="H153" t="s">
        <v>78</v>
      </c>
      <c r="I153" t="s">
        <v>61</v>
      </c>
    </row>
    <row r="154" spans="1:9" x14ac:dyDescent="0.25">
      <c r="A154" t="s">
        <v>566</v>
      </c>
      <c r="B154" t="s">
        <v>402</v>
      </c>
      <c r="C154" t="s">
        <v>382</v>
      </c>
      <c r="D154" t="s">
        <v>306</v>
      </c>
      <c r="E154" t="s">
        <v>408</v>
      </c>
      <c r="F154" s="10">
        <v>0.74</v>
      </c>
      <c r="G154" s="11">
        <v>46056</v>
      </c>
      <c r="H154" t="s">
        <v>98</v>
      </c>
      <c r="I154" t="s">
        <v>84</v>
      </c>
    </row>
    <row r="155" spans="1:9" x14ac:dyDescent="0.25">
      <c r="A155" t="s">
        <v>567</v>
      </c>
      <c r="B155" t="s">
        <v>568</v>
      </c>
      <c r="C155" t="s">
        <v>368</v>
      </c>
      <c r="D155" t="s">
        <v>223</v>
      </c>
      <c r="E155" t="s">
        <v>362</v>
      </c>
      <c r="F155" s="10">
        <v>0.27</v>
      </c>
      <c r="G155" s="11">
        <v>45876</v>
      </c>
      <c r="H155" t="s">
        <v>60</v>
      </c>
      <c r="I155" t="s">
        <v>56</v>
      </c>
    </row>
    <row r="156" spans="1:9" x14ac:dyDescent="0.25">
      <c r="A156" t="s">
        <v>569</v>
      </c>
      <c r="B156" t="s">
        <v>570</v>
      </c>
      <c r="C156" t="s">
        <v>361</v>
      </c>
      <c r="D156" t="s">
        <v>321</v>
      </c>
      <c r="E156" t="s">
        <v>408</v>
      </c>
      <c r="F156" s="10">
        <v>0.4</v>
      </c>
      <c r="G156" s="11">
        <v>46133</v>
      </c>
      <c r="H156" t="s">
        <v>91</v>
      </c>
      <c r="I156" t="s">
        <v>56</v>
      </c>
    </row>
    <row r="157" spans="1:9" x14ac:dyDescent="0.25">
      <c r="A157" t="s">
        <v>571</v>
      </c>
      <c r="B157" t="s">
        <v>572</v>
      </c>
      <c r="C157" t="s">
        <v>361</v>
      </c>
      <c r="D157" t="s">
        <v>316</v>
      </c>
      <c r="E157" t="s">
        <v>408</v>
      </c>
      <c r="F157" s="10">
        <v>0.99</v>
      </c>
      <c r="G157" s="11">
        <v>46105</v>
      </c>
      <c r="H157" t="s">
        <v>73</v>
      </c>
      <c r="I157" t="s">
        <v>74</v>
      </c>
    </row>
    <row r="158" spans="1:9" x14ac:dyDescent="0.25">
      <c r="A158" t="s">
        <v>573</v>
      </c>
      <c r="B158" t="s">
        <v>487</v>
      </c>
      <c r="C158" t="s">
        <v>361</v>
      </c>
      <c r="D158" t="s">
        <v>209</v>
      </c>
      <c r="E158" t="s">
        <v>365</v>
      </c>
      <c r="F158" s="10">
        <v>0.63</v>
      </c>
      <c r="G158" s="11">
        <v>45867</v>
      </c>
      <c r="H158" t="s">
        <v>78</v>
      </c>
      <c r="I158" t="s">
        <v>56</v>
      </c>
    </row>
    <row r="159" spans="1:9" x14ac:dyDescent="0.25">
      <c r="A159" t="s">
        <v>574</v>
      </c>
      <c r="B159" t="s">
        <v>379</v>
      </c>
      <c r="C159" t="s">
        <v>357</v>
      </c>
      <c r="D159" t="s">
        <v>187</v>
      </c>
      <c r="E159" t="s">
        <v>391</v>
      </c>
      <c r="F159" s="10">
        <v>0.21</v>
      </c>
      <c r="G159" s="11">
        <v>46099</v>
      </c>
      <c r="H159" t="s">
        <v>91</v>
      </c>
      <c r="I159" t="s">
        <v>84</v>
      </c>
    </row>
    <row r="160" spans="1:9" x14ac:dyDescent="0.25">
      <c r="A160" t="s">
        <v>575</v>
      </c>
      <c r="B160" t="s">
        <v>415</v>
      </c>
      <c r="C160" t="s">
        <v>368</v>
      </c>
      <c r="D160" t="s">
        <v>268</v>
      </c>
      <c r="E160" t="s">
        <v>362</v>
      </c>
      <c r="F160" s="10">
        <v>0.97</v>
      </c>
      <c r="G160" s="11">
        <v>46089</v>
      </c>
      <c r="H160" t="s">
        <v>91</v>
      </c>
      <c r="I160" t="s">
        <v>74</v>
      </c>
    </row>
    <row r="161" spans="1:9" x14ac:dyDescent="0.25">
      <c r="A161" t="s">
        <v>576</v>
      </c>
      <c r="B161" t="s">
        <v>551</v>
      </c>
      <c r="C161" t="s">
        <v>382</v>
      </c>
      <c r="D161" t="s">
        <v>160</v>
      </c>
      <c r="E161" t="s">
        <v>358</v>
      </c>
      <c r="F161" s="10">
        <v>0.8</v>
      </c>
      <c r="G161" s="11">
        <v>46097</v>
      </c>
      <c r="H161" t="s">
        <v>125</v>
      </c>
      <c r="I161" t="s">
        <v>61</v>
      </c>
    </row>
    <row r="162" spans="1:9" x14ac:dyDescent="0.25">
      <c r="A162" t="s">
        <v>577</v>
      </c>
      <c r="B162" t="s">
        <v>410</v>
      </c>
      <c r="C162" t="s">
        <v>361</v>
      </c>
      <c r="D162" t="s">
        <v>127</v>
      </c>
      <c r="E162" t="s">
        <v>369</v>
      </c>
      <c r="F162" s="10">
        <v>0.34</v>
      </c>
      <c r="G162" s="11">
        <v>46081</v>
      </c>
      <c r="H162" t="s">
        <v>55</v>
      </c>
      <c r="I162" t="s">
        <v>56</v>
      </c>
    </row>
    <row r="163" spans="1:9" x14ac:dyDescent="0.25">
      <c r="A163" t="s">
        <v>578</v>
      </c>
      <c r="B163" t="s">
        <v>462</v>
      </c>
      <c r="C163" t="s">
        <v>361</v>
      </c>
      <c r="D163" t="s">
        <v>162</v>
      </c>
      <c r="E163" t="s">
        <v>391</v>
      </c>
      <c r="F163" s="10">
        <v>0.97</v>
      </c>
      <c r="G163" s="11">
        <v>45879</v>
      </c>
      <c r="H163" t="s">
        <v>91</v>
      </c>
      <c r="I163" t="s">
        <v>84</v>
      </c>
    </row>
    <row r="164" spans="1:9" x14ac:dyDescent="0.25">
      <c r="A164" t="s">
        <v>579</v>
      </c>
      <c r="B164" t="s">
        <v>545</v>
      </c>
      <c r="C164" t="s">
        <v>361</v>
      </c>
      <c r="D164" t="s">
        <v>264</v>
      </c>
      <c r="E164" t="s">
        <v>369</v>
      </c>
      <c r="F164" s="10">
        <v>0.31</v>
      </c>
      <c r="G164" s="11">
        <v>46124</v>
      </c>
      <c r="H164" t="s">
        <v>55</v>
      </c>
      <c r="I164" t="s">
        <v>66</v>
      </c>
    </row>
    <row r="165" spans="1:9" x14ac:dyDescent="0.25">
      <c r="A165" t="s">
        <v>580</v>
      </c>
      <c r="B165" t="s">
        <v>482</v>
      </c>
      <c r="C165" t="s">
        <v>357</v>
      </c>
      <c r="D165" t="s">
        <v>160</v>
      </c>
      <c r="E165" t="s">
        <v>373</v>
      </c>
      <c r="F165" s="10">
        <v>0.77</v>
      </c>
      <c r="G165" s="11">
        <v>45868</v>
      </c>
      <c r="H165" t="s">
        <v>91</v>
      </c>
      <c r="I165" t="s">
        <v>56</v>
      </c>
    </row>
    <row r="166" spans="1:9" x14ac:dyDescent="0.25">
      <c r="A166" t="s">
        <v>581</v>
      </c>
      <c r="B166" t="s">
        <v>572</v>
      </c>
      <c r="C166" t="s">
        <v>368</v>
      </c>
      <c r="D166" t="s">
        <v>137</v>
      </c>
      <c r="E166" t="s">
        <v>358</v>
      </c>
      <c r="F166" s="10">
        <v>0.21</v>
      </c>
      <c r="G166" s="11">
        <v>46048</v>
      </c>
      <c r="H166" t="s">
        <v>60</v>
      </c>
      <c r="I166" t="s">
        <v>66</v>
      </c>
    </row>
    <row r="167" spans="1:9" x14ac:dyDescent="0.25">
      <c r="A167" t="s">
        <v>582</v>
      </c>
      <c r="B167" t="s">
        <v>572</v>
      </c>
      <c r="C167" t="s">
        <v>357</v>
      </c>
      <c r="D167" t="s">
        <v>197</v>
      </c>
      <c r="E167" t="s">
        <v>365</v>
      </c>
      <c r="F167" s="10">
        <v>0.45</v>
      </c>
      <c r="G167" s="11">
        <v>46026</v>
      </c>
      <c r="H167" t="s">
        <v>65</v>
      </c>
      <c r="I167" t="s">
        <v>61</v>
      </c>
    </row>
    <row r="168" spans="1:9" x14ac:dyDescent="0.25">
      <c r="A168" t="s">
        <v>583</v>
      </c>
      <c r="B168" t="s">
        <v>423</v>
      </c>
      <c r="C168" t="s">
        <v>368</v>
      </c>
      <c r="D168" t="s">
        <v>344</v>
      </c>
      <c r="E168" t="s">
        <v>358</v>
      </c>
      <c r="F168" s="10">
        <v>0.38</v>
      </c>
      <c r="G168" s="11">
        <v>45953</v>
      </c>
      <c r="H168" t="s">
        <v>65</v>
      </c>
      <c r="I168" t="s">
        <v>74</v>
      </c>
    </row>
    <row r="169" spans="1:9" x14ac:dyDescent="0.25">
      <c r="A169" t="s">
        <v>584</v>
      </c>
      <c r="B169" t="s">
        <v>393</v>
      </c>
      <c r="C169" t="s">
        <v>361</v>
      </c>
      <c r="D169" t="s">
        <v>68</v>
      </c>
      <c r="E169" t="s">
        <v>369</v>
      </c>
      <c r="F169" s="10">
        <v>0.44</v>
      </c>
      <c r="G169" s="11">
        <v>46227</v>
      </c>
      <c r="H169" t="s">
        <v>112</v>
      </c>
      <c r="I169" t="s">
        <v>84</v>
      </c>
    </row>
    <row r="170" spans="1:9" x14ac:dyDescent="0.25">
      <c r="A170" t="s">
        <v>585</v>
      </c>
      <c r="B170" t="s">
        <v>405</v>
      </c>
      <c r="C170" t="s">
        <v>357</v>
      </c>
      <c r="D170" t="s">
        <v>267</v>
      </c>
      <c r="E170" t="s">
        <v>362</v>
      </c>
      <c r="F170" s="10">
        <v>0.56000000000000005</v>
      </c>
      <c r="G170" s="11">
        <v>46214</v>
      </c>
      <c r="H170" t="s">
        <v>125</v>
      </c>
      <c r="I170" t="s">
        <v>56</v>
      </c>
    </row>
    <row r="171" spans="1:9" x14ac:dyDescent="0.25">
      <c r="A171" t="s">
        <v>586</v>
      </c>
      <c r="B171" t="s">
        <v>412</v>
      </c>
      <c r="C171" t="s">
        <v>368</v>
      </c>
      <c r="D171" t="s">
        <v>313</v>
      </c>
      <c r="E171" t="s">
        <v>408</v>
      </c>
      <c r="F171" s="10">
        <v>0.59</v>
      </c>
      <c r="G171" s="11">
        <v>45889</v>
      </c>
      <c r="H171" t="s">
        <v>159</v>
      </c>
      <c r="I171" t="s">
        <v>61</v>
      </c>
    </row>
    <row r="172" spans="1:9" x14ac:dyDescent="0.25">
      <c r="A172" t="s">
        <v>587</v>
      </c>
      <c r="B172" t="s">
        <v>498</v>
      </c>
      <c r="C172" t="s">
        <v>368</v>
      </c>
      <c r="D172" t="s">
        <v>321</v>
      </c>
      <c r="E172" t="s">
        <v>391</v>
      </c>
      <c r="F172" s="10">
        <v>0.7</v>
      </c>
      <c r="G172" s="11">
        <v>46020</v>
      </c>
      <c r="H172" t="s">
        <v>55</v>
      </c>
      <c r="I172" t="s">
        <v>74</v>
      </c>
    </row>
    <row r="173" spans="1:9" x14ac:dyDescent="0.25">
      <c r="A173" t="s">
        <v>588</v>
      </c>
      <c r="B173" t="s">
        <v>372</v>
      </c>
      <c r="C173" t="s">
        <v>361</v>
      </c>
      <c r="D173" t="s">
        <v>291</v>
      </c>
      <c r="E173" t="s">
        <v>365</v>
      </c>
      <c r="F173" s="10">
        <v>0.94</v>
      </c>
      <c r="G173" s="11">
        <v>46161</v>
      </c>
      <c r="H173" t="s">
        <v>98</v>
      </c>
      <c r="I173" t="s">
        <v>66</v>
      </c>
    </row>
    <row r="174" spans="1:9" x14ac:dyDescent="0.25">
      <c r="A174" t="s">
        <v>589</v>
      </c>
      <c r="B174" t="s">
        <v>545</v>
      </c>
      <c r="C174" t="s">
        <v>357</v>
      </c>
      <c r="D174" t="s">
        <v>287</v>
      </c>
      <c r="E174" t="s">
        <v>365</v>
      </c>
      <c r="F174" s="10">
        <v>0.92</v>
      </c>
      <c r="G174" s="11">
        <v>45928</v>
      </c>
      <c r="H174" t="s">
        <v>55</v>
      </c>
      <c r="I174" t="s">
        <v>56</v>
      </c>
    </row>
    <row r="175" spans="1:9" x14ac:dyDescent="0.25">
      <c r="A175" t="s">
        <v>590</v>
      </c>
      <c r="B175" t="s">
        <v>446</v>
      </c>
      <c r="C175" t="s">
        <v>368</v>
      </c>
      <c r="D175" t="s">
        <v>318</v>
      </c>
      <c r="E175" t="s">
        <v>373</v>
      </c>
      <c r="F175" s="10">
        <v>0.93</v>
      </c>
      <c r="G175" s="11">
        <v>45913</v>
      </c>
      <c r="H175" t="s">
        <v>91</v>
      </c>
      <c r="I175" t="s">
        <v>56</v>
      </c>
    </row>
    <row r="176" spans="1:9" x14ac:dyDescent="0.25">
      <c r="A176" t="s">
        <v>591</v>
      </c>
      <c r="B176" t="s">
        <v>570</v>
      </c>
      <c r="C176" t="s">
        <v>357</v>
      </c>
      <c r="D176" t="s">
        <v>224</v>
      </c>
      <c r="E176" t="s">
        <v>419</v>
      </c>
      <c r="F176" s="10">
        <v>0.77</v>
      </c>
      <c r="G176" s="11">
        <v>46040</v>
      </c>
      <c r="H176" t="s">
        <v>159</v>
      </c>
      <c r="I176" t="s">
        <v>66</v>
      </c>
    </row>
    <row r="177" spans="1:9" x14ac:dyDescent="0.25">
      <c r="A177" t="s">
        <v>592</v>
      </c>
      <c r="B177" t="s">
        <v>482</v>
      </c>
      <c r="C177" t="s">
        <v>382</v>
      </c>
      <c r="D177" t="s">
        <v>256</v>
      </c>
      <c r="E177" t="s">
        <v>365</v>
      </c>
      <c r="F177" s="10">
        <v>0.99</v>
      </c>
      <c r="G177" s="11">
        <v>46114</v>
      </c>
      <c r="H177" t="s">
        <v>112</v>
      </c>
      <c r="I177" t="s">
        <v>74</v>
      </c>
    </row>
    <row r="178" spans="1:9" x14ac:dyDescent="0.25">
      <c r="A178" t="s">
        <v>593</v>
      </c>
      <c r="B178" t="s">
        <v>570</v>
      </c>
      <c r="C178" t="s">
        <v>382</v>
      </c>
      <c r="D178" t="s">
        <v>256</v>
      </c>
      <c r="E178" t="s">
        <v>419</v>
      </c>
      <c r="F178" s="10">
        <v>0.8</v>
      </c>
      <c r="G178" s="11">
        <v>46001</v>
      </c>
      <c r="H178" t="s">
        <v>73</v>
      </c>
      <c r="I178" t="s">
        <v>84</v>
      </c>
    </row>
    <row r="179" spans="1:9" x14ac:dyDescent="0.25">
      <c r="A179" t="s">
        <v>594</v>
      </c>
      <c r="B179" t="s">
        <v>388</v>
      </c>
      <c r="C179" t="s">
        <v>357</v>
      </c>
      <c r="D179" t="s">
        <v>250</v>
      </c>
      <c r="E179" t="s">
        <v>408</v>
      </c>
      <c r="F179" s="10">
        <v>0.97</v>
      </c>
      <c r="G179" s="11">
        <v>46179</v>
      </c>
      <c r="H179" t="s">
        <v>98</v>
      </c>
      <c r="I179" t="s">
        <v>66</v>
      </c>
    </row>
    <row r="180" spans="1:9" x14ac:dyDescent="0.25">
      <c r="A180" t="s">
        <v>595</v>
      </c>
      <c r="B180" t="s">
        <v>423</v>
      </c>
      <c r="C180" t="s">
        <v>382</v>
      </c>
      <c r="D180" t="s">
        <v>324</v>
      </c>
      <c r="E180" t="s">
        <v>419</v>
      </c>
      <c r="F180" s="10">
        <v>0.94</v>
      </c>
      <c r="G180" s="11">
        <v>46094</v>
      </c>
      <c r="H180" t="s">
        <v>159</v>
      </c>
      <c r="I180" t="s">
        <v>56</v>
      </c>
    </row>
    <row r="181" spans="1:9" x14ac:dyDescent="0.25">
      <c r="A181" t="s">
        <v>596</v>
      </c>
      <c r="B181" t="s">
        <v>415</v>
      </c>
      <c r="C181" t="s">
        <v>357</v>
      </c>
      <c r="D181" t="s">
        <v>279</v>
      </c>
      <c r="E181" t="s">
        <v>362</v>
      </c>
      <c r="F181" s="10">
        <v>0.9</v>
      </c>
      <c r="G181" s="11">
        <v>46165</v>
      </c>
      <c r="H181" t="s">
        <v>73</v>
      </c>
      <c r="I181" t="s">
        <v>61</v>
      </c>
    </row>
    <row r="182" spans="1:9" x14ac:dyDescent="0.25">
      <c r="A182" t="s">
        <v>597</v>
      </c>
      <c r="B182" t="s">
        <v>427</v>
      </c>
      <c r="C182" t="s">
        <v>382</v>
      </c>
      <c r="D182" t="s">
        <v>203</v>
      </c>
      <c r="E182" t="s">
        <v>419</v>
      </c>
      <c r="F182" s="10">
        <v>0.53</v>
      </c>
      <c r="G182" s="11">
        <v>46146</v>
      </c>
      <c r="H182" t="s">
        <v>55</v>
      </c>
      <c r="I182" t="s">
        <v>66</v>
      </c>
    </row>
    <row r="183" spans="1:9" x14ac:dyDescent="0.25">
      <c r="A183" t="s">
        <v>598</v>
      </c>
      <c r="B183" t="s">
        <v>427</v>
      </c>
      <c r="C183" t="s">
        <v>361</v>
      </c>
      <c r="D183" t="s">
        <v>119</v>
      </c>
      <c r="E183" t="s">
        <v>365</v>
      </c>
      <c r="F183" s="10">
        <v>0.23</v>
      </c>
      <c r="G183" s="11">
        <v>46036</v>
      </c>
      <c r="H183" t="s">
        <v>55</v>
      </c>
      <c r="I183" t="s">
        <v>84</v>
      </c>
    </row>
    <row r="184" spans="1:9" x14ac:dyDescent="0.25">
      <c r="A184" t="s">
        <v>599</v>
      </c>
      <c r="B184" t="s">
        <v>511</v>
      </c>
      <c r="C184" t="s">
        <v>361</v>
      </c>
      <c r="D184" t="s">
        <v>189</v>
      </c>
      <c r="E184" t="s">
        <v>369</v>
      </c>
      <c r="F184" s="10">
        <v>0.72</v>
      </c>
      <c r="G184" s="11">
        <v>45895</v>
      </c>
      <c r="H184" t="s">
        <v>125</v>
      </c>
      <c r="I184" t="s">
        <v>56</v>
      </c>
    </row>
    <row r="185" spans="1:9" x14ac:dyDescent="0.25">
      <c r="A185" t="s">
        <v>600</v>
      </c>
      <c r="B185" t="s">
        <v>356</v>
      </c>
      <c r="C185" t="s">
        <v>361</v>
      </c>
      <c r="D185" t="s">
        <v>155</v>
      </c>
      <c r="E185" t="s">
        <v>373</v>
      </c>
      <c r="F185" s="10">
        <v>0.21</v>
      </c>
      <c r="G185" s="11">
        <v>46030</v>
      </c>
      <c r="H185" t="s">
        <v>98</v>
      </c>
      <c r="I185" t="s">
        <v>74</v>
      </c>
    </row>
    <row r="186" spans="1:9" x14ac:dyDescent="0.25">
      <c r="A186" t="s">
        <v>601</v>
      </c>
      <c r="B186" t="s">
        <v>412</v>
      </c>
      <c r="C186" t="s">
        <v>357</v>
      </c>
      <c r="D186" t="s">
        <v>166</v>
      </c>
      <c r="E186" t="s">
        <v>408</v>
      </c>
      <c r="F186" s="10">
        <v>0.44</v>
      </c>
      <c r="G186" s="11">
        <v>46080</v>
      </c>
      <c r="H186" t="s">
        <v>112</v>
      </c>
      <c r="I186" t="s">
        <v>66</v>
      </c>
    </row>
    <row r="187" spans="1:9" x14ac:dyDescent="0.25">
      <c r="A187" t="s">
        <v>602</v>
      </c>
      <c r="B187" t="s">
        <v>412</v>
      </c>
      <c r="C187" t="s">
        <v>382</v>
      </c>
      <c r="D187" t="s">
        <v>268</v>
      </c>
      <c r="E187" t="s">
        <v>419</v>
      </c>
      <c r="F187" s="10">
        <v>0.67</v>
      </c>
      <c r="G187" s="11">
        <v>45929</v>
      </c>
      <c r="H187" t="s">
        <v>78</v>
      </c>
      <c r="I187" t="s">
        <v>61</v>
      </c>
    </row>
    <row r="188" spans="1:9" x14ac:dyDescent="0.25">
      <c r="A188" t="s">
        <v>603</v>
      </c>
      <c r="B188" t="s">
        <v>568</v>
      </c>
      <c r="C188" t="s">
        <v>357</v>
      </c>
      <c r="D188" t="s">
        <v>328</v>
      </c>
      <c r="E188" t="s">
        <v>369</v>
      </c>
      <c r="F188" s="10">
        <v>0.44</v>
      </c>
      <c r="G188" s="11">
        <v>45889</v>
      </c>
      <c r="H188" t="s">
        <v>125</v>
      </c>
      <c r="I188" t="s">
        <v>66</v>
      </c>
    </row>
    <row r="189" spans="1:9" x14ac:dyDescent="0.25">
      <c r="A189" t="s">
        <v>604</v>
      </c>
      <c r="B189" t="s">
        <v>498</v>
      </c>
      <c r="C189" t="s">
        <v>368</v>
      </c>
      <c r="D189" t="s">
        <v>184</v>
      </c>
      <c r="E189" t="s">
        <v>373</v>
      </c>
      <c r="F189" s="10">
        <v>0.85</v>
      </c>
      <c r="G189" s="11">
        <v>46153</v>
      </c>
      <c r="H189" t="s">
        <v>55</v>
      </c>
      <c r="I189" t="s">
        <v>56</v>
      </c>
    </row>
    <row r="190" spans="1:9" x14ac:dyDescent="0.25">
      <c r="A190" t="s">
        <v>605</v>
      </c>
      <c r="B190" t="s">
        <v>377</v>
      </c>
      <c r="C190" t="s">
        <v>357</v>
      </c>
      <c r="D190" t="s">
        <v>196</v>
      </c>
      <c r="E190" t="s">
        <v>391</v>
      </c>
      <c r="F190" s="10">
        <v>0.86</v>
      </c>
      <c r="G190" s="11">
        <v>45880</v>
      </c>
      <c r="H190" t="s">
        <v>60</v>
      </c>
      <c r="I190" t="s">
        <v>61</v>
      </c>
    </row>
    <row r="191" spans="1:9" x14ac:dyDescent="0.25">
      <c r="A191" t="s">
        <v>606</v>
      </c>
      <c r="B191" t="s">
        <v>473</v>
      </c>
      <c r="C191" t="s">
        <v>361</v>
      </c>
      <c r="D191" t="s">
        <v>191</v>
      </c>
      <c r="E191" t="s">
        <v>373</v>
      </c>
      <c r="F191" s="10">
        <v>0.99</v>
      </c>
      <c r="G191" s="11">
        <v>45937</v>
      </c>
      <c r="H191" t="s">
        <v>60</v>
      </c>
      <c r="I191" t="s">
        <v>84</v>
      </c>
    </row>
    <row r="192" spans="1:9" x14ac:dyDescent="0.25">
      <c r="A192" t="s">
        <v>607</v>
      </c>
      <c r="B192" t="s">
        <v>402</v>
      </c>
      <c r="C192" t="s">
        <v>382</v>
      </c>
      <c r="D192" t="s">
        <v>306</v>
      </c>
      <c r="E192" t="s">
        <v>358</v>
      </c>
      <c r="F192" s="10">
        <v>0.43</v>
      </c>
      <c r="G192" s="11">
        <v>46155</v>
      </c>
      <c r="H192" t="s">
        <v>91</v>
      </c>
      <c r="I192" t="s">
        <v>84</v>
      </c>
    </row>
    <row r="193" spans="1:9" x14ac:dyDescent="0.25">
      <c r="A193" t="s">
        <v>608</v>
      </c>
      <c r="B193" t="s">
        <v>379</v>
      </c>
      <c r="C193" t="s">
        <v>368</v>
      </c>
      <c r="D193" t="s">
        <v>126</v>
      </c>
      <c r="E193" t="s">
        <v>358</v>
      </c>
      <c r="F193" s="10">
        <v>0.73</v>
      </c>
      <c r="G193" s="11">
        <v>45884</v>
      </c>
      <c r="H193" t="s">
        <v>60</v>
      </c>
      <c r="I193" t="s">
        <v>66</v>
      </c>
    </row>
    <row r="194" spans="1:9" x14ac:dyDescent="0.25">
      <c r="A194" t="s">
        <v>609</v>
      </c>
      <c r="B194" t="s">
        <v>395</v>
      </c>
      <c r="C194" t="s">
        <v>382</v>
      </c>
      <c r="D194" t="s">
        <v>313</v>
      </c>
      <c r="E194" t="s">
        <v>365</v>
      </c>
      <c r="F194" s="10">
        <v>0.5</v>
      </c>
      <c r="G194" s="11">
        <v>45994</v>
      </c>
      <c r="H194" t="s">
        <v>112</v>
      </c>
      <c r="I194" t="s">
        <v>74</v>
      </c>
    </row>
    <row r="195" spans="1:9" x14ac:dyDescent="0.25">
      <c r="A195" t="s">
        <v>610</v>
      </c>
      <c r="B195" t="s">
        <v>410</v>
      </c>
      <c r="C195" t="s">
        <v>382</v>
      </c>
      <c r="D195" t="s">
        <v>190</v>
      </c>
      <c r="E195" t="s">
        <v>408</v>
      </c>
      <c r="F195" s="10">
        <v>0.71</v>
      </c>
      <c r="G195" s="11">
        <v>46141</v>
      </c>
      <c r="H195" t="s">
        <v>78</v>
      </c>
      <c r="I195" t="s">
        <v>66</v>
      </c>
    </row>
    <row r="196" spans="1:9" x14ac:dyDescent="0.25">
      <c r="A196" t="s">
        <v>611</v>
      </c>
      <c r="B196" t="s">
        <v>482</v>
      </c>
      <c r="C196" t="s">
        <v>361</v>
      </c>
      <c r="D196" t="s">
        <v>149</v>
      </c>
      <c r="E196" t="s">
        <v>391</v>
      </c>
      <c r="F196" s="10">
        <v>0.21</v>
      </c>
      <c r="G196" s="11">
        <v>46044</v>
      </c>
      <c r="H196" t="s">
        <v>60</v>
      </c>
      <c r="I196" t="s">
        <v>66</v>
      </c>
    </row>
    <row r="197" spans="1:9" x14ac:dyDescent="0.25">
      <c r="A197" t="s">
        <v>612</v>
      </c>
      <c r="B197" t="s">
        <v>372</v>
      </c>
      <c r="C197" t="s">
        <v>361</v>
      </c>
      <c r="D197" t="s">
        <v>309</v>
      </c>
      <c r="E197" t="s">
        <v>365</v>
      </c>
      <c r="F197" s="10">
        <v>0.98</v>
      </c>
      <c r="G197" s="11">
        <v>46033</v>
      </c>
      <c r="H197" t="s">
        <v>73</v>
      </c>
      <c r="I197" t="s">
        <v>66</v>
      </c>
    </row>
    <row r="198" spans="1:9" x14ac:dyDescent="0.25">
      <c r="A198" t="s">
        <v>613</v>
      </c>
      <c r="B198" t="s">
        <v>384</v>
      </c>
      <c r="C198" t="s">
        <v>357</v>
      </c>
      <c r="D198" t="s">
        <v>322</v>
      </c>
      <c r="E198" t="s">
        <v>358</v>
      </c>
      <c r="F198" s="10">
        <v>0.5</v>
      </c>
      <c r="G198" s="11">
        <v>46135</v>
      </c>
      <c r="H198" t="s">
        <v>98</v>
      </c>
      <c r="I198" t="s">
        <v>61</v>
      </c>
    </row>
    <row r="199" spans="1:9" x14ac:dyDescent="0.25">
      <c r="A199" t="s">
        <v>614</v>
      </c>
      <c r="B199" t="s">
        <v>545</v>
      </c>
      <c r="C199" t="s">
        <v>357</v>
      </c>
      <c r="D199" t="s">
        <v>298</v>
      </c>
      <c r="E199" t="s">
        <v>391</v>
      </c>
      <c r="F199" s="10">
        <v>0.98</v>
      </c>
      <c r="G199" s="11">
        <v>45890</v>
      </c>
      <c r="H199" t="s">
        <v>78</v>
      </c>
      <c r="I199" t="s">
        <v>56</v>
      </c>
    </row>
    <row r="200" spans="1:9" x14ac:dyDescent="0.25">
      <c r="A200" t="s">
        <v>615</v>
      </c>
      <c r="B200" t="s">
        <v>446</v>
      </c>
      <c r="C200" t="s">
        <v>382</v>
      </c>
      <c r="D200" t="s">
        <v>149</v>
      </c>
      <c r="E200" t="s">
        <v>369</v>
      </c>
      <c r="F200" s="10">
        <v>0.91</v>
      </c>
      <c r="G200" s="11">
        <v>46001</v>
      </c>
      <c r="H200" t="s">
        <v>78</v>
      </c>
      <c r="I200" t="s">
        <v>56</v>
      </c>
    </row>
    <row r="201" spans="1:9" x14ac:dyDescent="0.25">
      <c r="A201" t="s">
        <v>616</v>
      </c>
      <c r="B201" t="s">
        <v>430</v>
      </c>
      <c r="C201" t="s">
        <v>357</v>
      </c>
      <c r="D201" t="s">
        <v>251</v>
      </c>
      <c r="E201" t="s">
        <v>369</v>
      </c>
      <c r="F201" s="10">
        <v>0.33</v>
      </c>
      <c r="G201" s="11">
        <v>45951</v>
      </c>
      <c r="H201" t="s">
        <v>159</v>
      </c>
      <c r="I201" t="s">
        <v>74</v>
      </c>
    </row>
    <row r="202" spans="1:9" x14ac:dyDescent="0.25">
      <c r="A202" t="s">
        <v>617</v>
      </c>
      <c r="B202" t="s">
        <v>360</v>
      </c>
      <c r="C202" t="s">
        <v>382</v>
      </c>
      <c r="D202" t="s">
        <v>266</v>
      </c>
      <c r="E202" t="s">
        <v>419</v>
      </c>
      <c r="F202" s="10">
        <v>0.37</v>
      </c>
      <c r="G202" s="11">
        <v>46018</v>
      </c>
      <c r="H202" t="s">
        <v>73</v>
      </c>
      <c r="I202" t="s">
        <v>66</v>
      </c>
    </row>
    <row r="203" spans="1:9" x14ac:dyDescent="0.25">
      <c r="A203" t="s">
        <v>618</v>
      </c>
      <c r="B203" t="s">
        <v>568</v>
      </c>
      <c r="C203" t="s">
        <v>368</v>
      </c>
      <c r="D203" t="s">
        <v>316</v>
      </c>
      <c r="E203" t="s">
        <v>391</v>
      </c>
      <c r="F203" s="10">
        <v>0.49</v>
      </c>
      <c r="G203" s="11">
        <v>45995</v>
      </c>
      <c r="H203" t="s">
        <v>65</v>
      </c>
      <c r="I203" t="s">
        <v>66</v>
      </c>
    </row>
    <row r="204" spans="1:9" x14ac:dyDescent="0.25">
      <c r="A204" t="s">
        <v>619</v>
      </c>
      <c r="B204" t="s">
        <v>386</v>
      </c>
      <c r="C204" t="s">
        <v>361</v>
      </c>
      <c r="D204" t="s">
        <v>343</v>
      </c>
      <c r="E204" t="s">
        <v>358</v>
      </c>
      <c r="F204" s="10">
        <v>0.44</v>
      </c>
      <c r="G204" s="11">
        <v>46104</v>
      </c>
      <c r="H204" t="s">
        <v>91</v>
      </c>
      <c r="I204" t="s">
        <v>56</v>
      </c>
    </row>
    <row r="205" spans="1:9" x14ac:dyDescent="0.25">
      <c r="A205" t="s">
        <v>620</v>
      </c>
      <c r="B205" t="s">
        <v>551</v>
      </c>
      <c r="C205" t="s">
        <v>357</v>
      </c>
      <c r="D205" t="s">
        <v>236</v>
      </c>
      <c r="E205" t="s">
        <v>391</v>
      </c>
      <c r="F205" s="10">
        <v>0.7</v>
      </c>
      <c r="G205" s="11">
        <v>46080</v>
      </c>
      <c r="H205" t="s">
        <v>65</v>
      </c>
      <c r="I205" t="s">
        <v>61</v>
      </c>
    </row>
    <row r="206" spans="1:9" x14ac:dyDescent="0.25">
      <c r="A206" t="s">
        <v>621</v>
      </c>
      <c r="B206" t="s">
        <v>443</v>
      </c>
      <c r="C206" t="s">
        <v>361</v>
      </c>
      <c r="D206" t="s">
        <v>167</v>
      </c>
      <c r="E206" t="s">
        <v>408</v>
      </c>
      <c r="F206" s="10">
        <v>0.45</v>
      </c>
      <c r="G206" s="11">
        <v>46088</v>
      </c>
      <c r="H206" t="s">
        <v>60</v>
      </c>
      <c r="I206" t="s">
        <v>66</v>
      </c>
    </row>
    <row r="207" spans="1:9" x14ac:dyDescent="0.25">
      <c r="A207" t="s">
        <v>622</v>
      </c>
      <c r="B207" t="s">
        <v>545</v>
      </c>
      <c r="C207" t="s">
        <v>368</v>
      </c>
      <c r="D207" t="s">
        <v>282</v>
      </c>
      <c r="E207" t="s">
        <v>358</v>
      </c>
      <c r="F207" s="10">
        <v>0.4</v>
      </c>
      <c r="G207" s="11">
        <v>46170</v>
      </c>
      <c r="H207" t="s">
        <v>78</v>
      </c>
      <c r="I207" t="s">
        <v>61</v>
      </c>
    </row>
    <row r="208" spans="1:9" x14ac:dyDescent="0.25">
      <c r="A208" t="s">
        <v>623</v>
      </c>
      <c r="B208" t="s">
        <v>511</v>
      </c>
      <c r="C208" t="s">
        <v>361</v>
      </c>
      <c r="D208" t="s">
        <v>282</v>
      </c>
      <c r="E208" t="s">
        <v>373</v>
      </c>
      <c r="F208" s="10">
        <v>0.75</v>
      </c>
      <c r="G208" s="11">
        <v>46070</v>
      </c>
      <c r="H208" t="s">
        <v>78</v>
      </c>
      <c r="I208" t="s">
        <v>56</v>
      </c>
    </row>
    <row r="209" spans="1:9" x14ac:dyDescent="0.25">
      <c r="A209" t="s">
        <v>624</v>
      </c>
      <c r="B209" t="s">
        <v>465</v>
      </c>
      <c r="C209" t="s">
        <v>382</v>
      </c>
      <c r="D209" t="s">
        <v>306</v>
      </c>
      <c r="E209" t="s">
        <v>365</v>
      </c>
      <c r="F209" s="10">
        <v>0.82</v>
      </c>
      <c r="G209" s="11">
        <v>46138</v>
      </c>
      <c r="H209" t="s">
        <v>55</v>
      </c>
      <c r="I209" t="s">
        <v>61</v>
      </c>
    </row>
    <row r="210" spans="1:9" x14ac:dyDescent="0.25">
      <c r="A210" t="s">
        <v>625</v>
      </c>
      <c r="B210" t="s">
        <v>448</v>
      </c>
      <c r="C210" t="s">
        <v>382</v>
      </c>
      <c r="D210" t="s">
        <v>320</v>
      </c>
      <c r="E210" t="s">
        <v>365</v>
      </c>
      <c r="F210" s="10">
        <v>0.26</v>
      </c>
      <c r="G210" s="11">
        <v>46060</v>
      </c>
      <c r="H210" t="s">
        <v>73</v>
      </c>
      <c r="I210" t="s">
        <v>56</v>
      </c>
    </row>
    <row r="211" spans="1:9" x14ac:dyDescent="0.25">
      <c r="A211" t="s">
        <v>626</v>
      </c>
      <c r="B211" t="s">
        <v>484</v>
      </c>
      <c r="C211" t="s">
        <v>361</v>
      </c>
      <c r="D211" t="s">
        <v>230</v>
      </c>
      <c r="E211" t="s">
        <v>419</v>
      </c>
      <c r="F211" s="10">
        <v>0.21</v>
      </c>
      <c r="G211" s="11">
        <v>46130</v>
      </c>
      <c r="H211" t="s">
        <v>112</v>
      </c>
      <c r="I211" t="s">
        <v>56</v>
      </c>
    </row>
    <row r="212" spans="1:9" x14ac:dyDescent="0.25">
      <c r="A212" t="s">
        <v>627</v>
      </c>
      <c r="B212" t="s">
        <v>572</v>
      </c>
      <c r="C212" t="s">
        <v>357</v>
      </c>
      <c r="D212" t="s">
        <v>238</v>
      </c>
      <c r="E212" t="s">
        <v>365</v>
      </c>
      <c r="F212" s="10">
        <v>0.54</v>
      </c>
      <c r="G212" s="11">
        <v>45977</v>
      </c>
      <c r="H212" t="s">
        <v>98</v>
      </c>
      <c r="I212" t="s">
        <v>66</v>
      </c>
    </row>
    <row r="213" spans="1:9" x14ac:dyDescent="0.25">
      <c r="A213" t="s">
        <v>628</v>
      </c>
      <c r="B213" t="s">
        <v>496</v>
      </c>
      <c r="C213" t="s">
        <v>361</v>
      </c>
      <c r="D213" t="s">
        <v>264</v>
      </c>
      <c r="E213" t="s">
        <v>362</v>
      </c>
      <c r="F213" s="10">
        <v>0.21</v>
      </c>
      <c r="G213" s="11">
        <v>46203</v>
      </c>
      <c r="H213" t="s">
        <v>55</v>
      </c>
      <c r="I213" t="s">
        <v>61</v>
      </c>
    </row>
    <row r="214" spans="1:9" x14ac:dyDescent="0.25">
      <c r="A214" t="s">
        <v>629</v>
      </c>
      <c r="B214" t="s">
        <v>393</v>
      </c>
      <c r="C214" t="s">
        <v>382</v>
      </c>
      <c r="D214" t="s">
        <v>276</v>
      </c>
      <c r="E214" t="s">
        <v>365</v>
      </c>
      <c r="F214" s="10">
        <v>0.93</v>
      </c>
      <c r="G214" s="11">
        <v>46013</v>
      </c>
      <c r="H214" t="s">
        <v>65</v>
      </c>
      <c r="I214" t="s">
        <v>56</v>
      </c>
    </row>
    <row r="215" spans="1:9" x14ac:dyDescent="0.25">
      <c r="A215" t="s">
        <v>630</v>
      </c>
      <c r="B215" t="s">
        <v>415</v>
      </c>
      <c r="C215" t="s">
        <v>357</v>
      </c>
      <c r="D215" t="s">
        <v>199</v>
      </c>
      <c r="E215" t="s">
        <v>365</v>
      </c>
      <c r="F215" s="10">
        <v>0.26</v>
      </c>
      <c r="G215" s="11">
        <v>45955</v>
      </c>
      <c r="H215" t="s">
        <v>78</v>
      </c>
      <c r="I215" t="s">
        <v>84</v>
      </c>
    </row>
    <row r="216" spans="1:9" x14ac:dyDescent="0.25">
      <c r="A216" t="s">
        <v>631</v>
      </c>
      <c r="B216" t="s">
        <v>379</v>
      </c>
      <c r="C216" t="s">
        <v>382</v>
      </c>
      <c r="D216" t="s">
        <v>259</v>
      </c>
      <c r="E216" t="s">
        <v>358</v>
      </c>
      <c r="F216" s="10">
        <v>0.95</v>
      </c>
      <c r="G216" s="11">
        <v>45906</v>
      </c>
      <c r="H216" t="s">
        <v>78</v>
      </c>
      <c r="I216" t="s">
        <v>66</v>
      </c>
    </row>
    <row r="217" spans="1:9" x14ac:dyDescent="0.25">
      <c r="A217" t="s">
        <v>632</v>
      </c>
      <c r="B217" t="s">
        <v>462</v>
      </c>
      <c r="C217" t="s">
        <v>361</v>
      </c>
      <c r="D217" t="s">
        <v>113</v>
      </c>
      <c r="E217" t="s">
        <v>373</v>
      </c>
      <c r="F217" s="10">
        <v>0.8</v>
      </c>
      <c r="G217" s="11">
        <v>45990</v>
      </c>
      <c r="H217" t="s">
        <v>112</v>
      </c>
      <c r="I217" t="s">
        <v>74</v>
      </c>
    </row>
    <row r="218" spans="1:9" x14ac:dyDescent="0.25">
      <c r="A218" t="s">
        <v>633</v>
      </c>
      <c r="B218" t="s">
        <v>356</v>
      </c>
      <c r="C218" t="s">
        <v>361</v>
      </c>
      <c r="D218" t="s">
        <v>305</v>
      </c>
      <c r="E218" t="s">
        <v>358</v>
      </c>
      <c r="F218" s="10">
        <v>0.36</v>
      </c>
      <c r="G218" s="11">
        <v>46028</v>
      </c>
      <c r="H218" t="s">
        <v>60</v>
      </c>
      <c r="I218" t="s">
        <v>56</v>
      </c>
    </row>
    <row r="219" spans="1:9" x14ac:dyDescent="0.25">
      <c r="A219" t="s">
        <v>634</v>
      </c>
      <c r="B219" t="s">
        <v>462</v>
      </c>
      <c r="C219" t="s">
        <v>361</v>
      </c>
      <c r="D219" t="s">
        <v>227</v>
      </c>
      <c r="E219" t="s">
        <v>369</v>
      </c>
      <c r="F219" s="10">
        <v>0.88</v>
      </c>
      <c r="G219" s="11">
        <v>46089</v>
      </c>
      <c r="H219" t="s">
        <v>125</v>
      </c>
      <c r="I219" t="s">
        <v>84</v>
      </c>
    </row>
    <row r="220" spans="1:9" x14ac:dyDescent="0.25">
      <c r="A220" t="s">
        <v>635</v>
      </c>
      <c r="B220" t="s">
        <v>407</v>
      </c>
      <c r="C220" t="s">
        <v>382</v>
      </c>
      <c r="D220" t="s">
        <v>109</v>
      </c>
      <c r="E220" t="s">
        <v>419</v>
      </c>
      <c r="F220" s="10">
        <v>0.7</v>
      </c>
      <c r="G220" s="11">
        <v>45936</v>
      </c>
      <c r="H220" t="s">
        <v>73</v>
      </c>
      <c r="I220" t="s">
        <v>61</v>
      </c>
    </row>
    <row r="221" spans="1:9" x14ac:dyDescent="0.25">
      <c r="A221" t="s">
        <v>636</v>
      </c>
      <c r="B221" t="s">
        <v>462</v>
      </c>
      <c r="C221" t="s">
        <v>368</v>
      </c>
      <c r="D221" t="s">
        <v>207</v>
      </c>
      <c r="E221" t="s">
        <v>419</v>
      </c>
      <c r="F221" s="10">
        <v>0.51</v>
      </c>
      <c r="G221" s="11">
        <v>45944</v>
      </c>
      <c r="H221" t="s">
        <v>78</v>
      </c>
      <c r="I221" t="s">
        <v>56</v>
      </c>
    </row>
    <row r="222" spans="1:9" x14ac:dyDescent="0.25">
      <c r="A222" t="s">
        <v>637</v>
      </c>
      <c r="B222" t="s">
        <v>498</v>
      </c>
      <c r="C222" t="s">
        <v>382</v>
      </c>
      <c r="D222" t="s">
        <v>217</v>
      </c>
      <c r="E222" t="s">
        <v>358</v>
      </c>
      <c r="F222" s="10">
        <v>0.5</v>
      </c>
      <c r="G222" s="11">
        <v>46185</v>
      </c>
      <c r="H222" t="s">
        <v>60</v>
      </c>
      <c r="I222" t="s">
        <v>56</v>
      </c>
    </row>
    <row r="223" spans="1:9" x14ac:dyDescent="0.25">
      <c r="A223" t="s">
        <v>638</v>
      </c>
      <c r="B223" t="s">
        <v>360</v>
      </c>
      <c r="C223" t="s">
        <v>357</v>
      </c>
      <c r="D223" t="s">
        <v>347</v>
      </c>
      <c r="E223" t="s">
        <v>408</v>
      </c>
      <c r="F223" s="10">
        <v>0.77</v>
      </c>
      <c r="G223" s="11">
        <v>45883</v>
      </c>
      <c r="H223" t="s">
        <v>159</v>
      </c>
      <c r="I223" t="s">
        <v>61</v>
      </c>
    </row>
    <row r="224" spans="1:9" x14ac:dyDescent="0.25">
      <c r="A224" t="s">
        <v>639</v>
      </c>
      <c r="B224" t="s">
        <v>372</v>
      </c>
      <c r="C224" t="s">
        <v>361</v>
      </c>
      <c r="D224" t="s">
        <v>127</v>
      </c>
      <c r="E224" t="s">
        <v>362</v>
      </c>
      <c r="F224" s="10">
        <v>0.92</v>
      </c>
      <c r="G224" s="11">
        <v>46148</v>
      </c>
      <c r="H224" t="s">
        <v>125</v>
      </c>
      <c r="I224" t="s">
        <v>84</v>
      </c>
    </row>
    <row r="225" spans="1:9" x14ac:dyDescent="0.25">
      <c r="A225" t="s">
        <v>640</v>
      </c>
      <c r="B225" t="s">
        <v>393</v>
      </c>
      <c r="C225" t="s">
        <v>368</v>
      </c>
      <c r="D225" t="s">
        <v>273</v>
      </c>
      <c r="E225" t="s">
        <v>391</v>
      </c>
      <c r="F225" s="10">
        <v>0.47</v>
      </c>
      <c r="G225" s="11">
        <v>46145</v>
      </c>
      <c r="H225" t="s">
        <v>98</v>
      </c>
      <c r="I225" t="s">
        <v>74</v>
      </c>
    </row>
    <row r="226" spans="1:9" x14ac:dyDescent="0.25">
      <c r="A226" t="s">
        <v>641</v>
      </c>
      <c r="B226" t="s">
        <v>465</v>
      </c>
      <c r="C226" t="s">
        <v>361</v>
      </c>
      <c r="D226" t="s">
        <v>279</v>
      </c>
      <c r="E226" t="s">
        <v>419</v>
      </c>
      <c r="F226" s="10">
        <v>0.88</v>
      </c>
      <c r="G226" s="11">
        <v>46198</v>
      </c>
      <c r="H226" t="s">
        <v>55</v>
      </c>
      <c r="I226" t="s">
        <v>56</v>
      </c>
    </row>
    <row r="227" spans="1:9" x14ac:dyDescent="0.25">
      <c r="A227" t="s">
        <v>642</v>
      </c>
      <c r="B227" t="s">
        <v>367</v>
      </c>
      <c r="C227" t="s">
        <v>382</v>
      </c>
      <c r="D227" t="s">
        <v>101</v>
      </c>
      <c r="E227" t="s">
        <v>358</v>
      </c>
      <c r="F227" s="10">
        <v>0.26</v>
      </c>
      <c r="G227" s="11">
        <v>46146</v>
      </c>
      <c r="H227" t="s">
        <v>65</v>
      </c>
      <c r="I227" t="s">
        <v>61</v>
      </c>
    </row>
    <row r="228" spans="1:9" x14ac:dyDescent="0.25">
      <c r="A228" t="s">
        <v>643</v>
      </c>
      <c r="B228" t="s">
        <v>437</v>
      </c>
      <c r="C228" t="s">
        <v>368</v>
      </c>
      <c r="D228" t="s">
        <v>325</v>
      </c>
      <c r="E228" t="s">
        <v>391</v>
      </c>
      <c r="F228" s="10">
        <v>0.32</v>
      </c>
      <c r="G228" s="11">
        <v>45890</v>
      </c>
      <c r="H228" t="s">
        <v>98</v>
      </c>
      <c r="I228" t="s">
        <v>84</v>
      </c>
    </row>
    <row r="229" spans="1:9" x14ac:dyDescent="0.25">
      <c r="A229" t="s">
        <v>644</v>
      </c>
      <c r="B229" t="s">
        <v>364</v>
      </c>
      <c r="C229" t="s">
        <v>382</v>
      </c>
      <c r="D229" t="s">
        <v>106</v>
      </c>
      <c r="E229" t="s">
        <v>365</v>
      </c>
      <c r="F229" s="10">
        <v>0.2</v>
      </c>
      <c r="G229" s="11">
        <v>45943</v>
      </c>
      <c r="H229" t="s">
        <v>112</v>
      </c>
      <c r="I229" t="s">
        <v>56</v>
      </c>
    </row>
    <row r="230" spans="1:9" x14ac:dyDescent="0.25">
      <c r="A230" t="s">
        <v>645</v>
      </c>
      <c r="B230" t="s">
        <v>375</v>
      </c>
      <c r="C230" t="s">
        <v>368</v>
      </c>
      <c r="D230" t="s">
        <v>293</v>
      </c>
      <c r="E230" t="s">
        <v>369</v>
      </c>
      <c r="F230" s="10">
        <v>1</v>
      </c>
      <c r="G230" s="11">
        <v>46147</v>
      </c>
      <c r="H230" t="s">
        <v>125</v>
      </c>
      <c r="I230" t="s">
        <v>74</v>
      </c>
    </row>
    <row r="231" spans="1:9" x14ac:dyDescent="0.25">
      <c r="A231" t="s">
        <v>646</v>
      </c>
      <c r="B231" t="s">
        <v>386</v>
      </c>
      <c r="C231" t="s">
        <v>368</v>
      </c>
      <c r="D231" t="s">
        <v>315</v>
      </c>
      <c r="E231" t="s">
        <v>369</v>
      </c>
      <c r="F231" s="10">
        <v>0.51</v>
      </c>
      <c r="G231" s="11">
        <v>46228</v>
      </c>
      <c r="H231" t="s">
        <v>98</v>
      </c>
      <c r="I231" t="s">
        <v>61</v>
      </c>
    </row>
    <row r="232" spans="1:9" x14ac:dyDescent="0.25">
      <c r="A232" t="s">
        <v>647</v>
      </c>
      <c r="B232" t="s">
        <v>454</v>
      </c>
      <c r="C232" t="s">
        <v>357</v>
      </c>
      <c r="D232" t="s">
        <v>243</v>
      </c>
      <c r="E232" t="s">
        <v>365</v>
      </c>
      <c r="F232" s="10">
        <v>0.85</v>
      </c>
      <c r="G232" s="11">
        <v>45974</v>
      </c>
      <c r="H232" t="s">
        <v>73</v>
      </c>
      <c r="I232" t="s">
        <v>84</v>
      </c>
    </row>
    <row r="233" spans="1:9" x14ac:dyDescent="0.25">
      <c r="A233" t="s">
        <v>648</v>
      </c>
      <c r="B233" t="s">
        <v>390</v>
      </c>
      <c r="C233" t="s">
        <v>357</v>
      </c>
      <c r="D233" t="s">
        <v>298</v>
      </c>
      <c r="E233" t="s">
        <v>369</v>
      </c>
      <c r="F233" s="10">
        <v>0.83</v>
      </c>
      <c r="G233" s="11">
        <v>46147</v>
      </c>
      <c r="H233" t="s">
        <v>98</v>
      </c>
      <c r="I233" t="s">
        <v>74</v>
      </c>
    </row>
    <row r="234" spans="1:9" x14ac:dyDescent="0.25">
      <c r="A234" t="s">
        <v>649</v>
      </c>
      <c r="B234" t="s">
        <v>448</v>
      </c>
      <c r="C234" t="s">
        <v>368</v>
      </c>
      <c r="D234" t="s">
        <v>297</v>
      </c>
      <c r="E234" t="s">
        <v>362</v>
      </c>
      <c r="F234" s="10">
        <v>0.4</v>
      </c>
      <c r="G234" s="11">
        <v>46112</v>
      </c>
      <c r="H234" t="s">
        <v>60</v>
      </c>
      <c r="I234" t="s">
        <v>84</v>
      </c>
    </row>
    <row r="235" spans="1:9" x14ac:dyDescent="0.25">
      <c r="A235" t="s">
        <v>650</v>
      </c>
      <c r="B235" t="s">
        <v>393</v>
      </c>
      <c r="C235" t="s">
        <v>357</v>
      </c>
      <c r="D235" t="s">
        <v>234</v>
      </c>
      <c r="E235" t="s">
        <v>373</v>
      </c>
      <c r="F235" s="10">
        <v>0.2</v>
      </c>
      <c r="G235" s="11">
        <v>46210</v>
      </c>
      <c r="H235" t="s">
        <v>91</v>
      </c>
      <c r="I235" t="s">
        <v>84</v>
      </c>
    </row>
    <row r="236" spans="1:9" x14ac:dyDescent="0.25">
      <c r="A236" t="s">
        <v>651</v>
      </c>
      <c r="B236" t="s">
        <v>395</v>
      </c>
      <c r="C236" t="s">
        <v>357</v>
      </c>
      <c r="D236" t="s">
        <v>160</v>
      </c>
      <c r="E236" t="s">
        <v>408</v>
      </c>
      <c r="F236" s="10">
        <v>0.4</v>
      </c>
      <c r="G236" s="11">
        <v>46114</v>
      </c>
      <c r="H236" t="s">
        <v>112</v>
      </c>
      <c r="I236" t="s">
        <v>61</v>
      </c>
    </row>
    <row r="237" spans="1:9" x14ac:dyDescent="0.25">
      <c r="A237" t="s">
        <v>652</v>
      </c>
      <c r="B237" t="s">
        <v>377</v>
      </c>
      <c r="C237" t="s">
        <v>357</v>
      </c>
      <c r="D237" t="s">
        <v>332</v>
      </c>
      <c r="E237" t="s">
        <v>369</v>
      </c>
      <c r="F237" s="10">
        <v>0.27</v>
      </c>
      <c r="G237" s="11">
        <v>46108</v>
      </c>
      <c r="H237" t="s">
        <v>125</v>
      </c>
      <c r="I237" t="s">
        <v>56</v>
      </c>
    </row>
    <row r="238" spans="1:9" x14ac:dyDescent="0.25">
      <c r="A238" t="s">
        <v>653</v>
      </c>
      <c r="B238" t="s">
        <v>427</v>
      </c>
      <c r="C238" t="s">
        <v>361</v>
      </c>
      <c r="D238" t="s">
        <v>326</v>
      </c>
      <c r="E238" t="s">
        <v>365</v>
      </c>
      <c r="F238" s="10">
        <v>0.2</v>
      </c>
      <c r="G238" s="11">
        <v>46173</v>
      </c>
      <c r="H238" t="s">
        <v>98</v>
      </c>
      <c r="I238" t="s">
        <v>61</v>
      </c>
    </row>
    <row r="239" spans="1:9" x14ac:dyDescent="0.25">
      <c r="A239" t="s">
        <v>654</v>
      </c>
      <c r="B239" t="s">
        <v>405</v>
      </c>
      <c r="C239" t="s">
        <v>357</v>
      </c>
      <c r="D239" t="s">
        <v>147</v>
      </c>
      <c r="E239" t="s">
        <v>362</v>
      </c>
      <c r="F239" s="10">
        <v>0.48</v>
      </c>
      <c r="G239" s="11">
        <v>46170</v>
      </c>
      <c r="H239" t="s">
        <v>65</v>
      </c>
      <c r="I239" t="s">
        <v>84</v>
      </c>
    </row>
    <row r="240" spans="1:9" x14ac:dyDescent="0.25">
      <c r="A240" t="s">
        <v>655</v>
      </c>
      <c r="B240" t="s">
        <v>379</v>
      </c>
      <c r="C240" t="s">
        <v>368</v>
      </c>
      <c r="D240" t="s">
        <v>110</v>
      </c>
      <c r="E240" t="s">
        <v>373</v>
      </c>
      <c r="F240" s="10">
        <v>0.94</v>
      </c>
      <c r="G240" s="11">
        <v>46025</v>
      </c>
      <c r="H240" t="s">
        <v>65</v>
      </c>
      <c r="I240" t="s">
        <v>56</v>
      </c>
    </row>
    <row r="241" spans="1:9" x14ac:dyDescent="0.25">
      <c r="A241" t="s">
        <v>656</v>
      </c>
      <c r="B241" t="s">
        <v>410</v>
      </c>
      <c r="C241" t="s">
        <v>357</v>
      </c>
      <c r="D241" t="s">
        <v>276</v>
      </c>
      <c r="E241" t="s">
        <v>373</v>
      </c>
      <c r="F241" s="10">
        <v>0.47</v>
      </c>
      <c r="G241" s="11">
        <v>45905</v>
      </c>
      <c r="H241" t="s">
        <v>98</v>
      </c>
      <c r="I241" t="s">
        <v>74</v>
      </c>
    </row>
    <row r="242" spans="1:9" x14ac:dyDescent="0.25">
      <c r="A242" t="s">
        <v>657</v>
      </c>
      <c r="B242" t="s">
        <v>511</v>
      </c>
      <c r="C242" t="s">
        <v>382</v>
      </c>
      <c r="D242" t="s">
        <v>183</v>
      </c>
      <c r="E242" t="s">
        <v>369</v>
      </c>
      <c r="F242" s="10">
        <v>0.74</v>
      </c>
      <c r="G242" s="11">
        <v>46044</v>
      </c>
      <c r="H242" t="s">
        <v>55</v>
      </c>
      <c r="I242" t="s">
        <v>74</v>
      </c>
    </row>
    <row r="243" spans="1:9" x14ac:dyDescent="0.25">
      <c r="A243" t="s">
        <v>658</v>
      </c>
      <c r="B243" t="s">
        <v>451</v>
      </c>
      <c r="C243" t="s">
        <v>357</v>
      </c>
      <c r="D243" t="s">
        <v>93</v>
      </c>
      <c r="E243" t="s">
        <v>419</v>
      </c>
      <c r="F243" s="10">
        <v>0.88</v>
      </c>
      <c r="G243" s="11">
        <v>46189</v>
      </c>
      <c r="H243" t="s">
        <v>78</v>
      </c>
      <c r="I243" t="s">
        <v>84</v>
      </c>
    </row>
    <row r="244" spans="1:9" x14ac:dyDescent="0.25">
      <c r="A244" t="s">
        <v>659</v>
      </c>
      <c r="B244" t="s">
        <v>367</v>
      </c>
      <c r="C244" t="s">
        <v>357</v>
      </c>
      <c r="D244" t="s">
        <v>184</v>
      </c>
      <c r="E244" t="s">
        <v>369</v>
      </c>
      <c r="F244" s="10">
        <v>0.35</v>
      </c>
      <c r="G244" s="11">
        <v>46151</v>
      </c>
      <c r="H244" t="s">
        <v>55</v>
      </c>
      <c r="I244" t="s">
        <v>84</v>
      </c>
    </row>
    <row r="245" spans="1:9" x14ac:dyDescent="0.25">
      <c r="A245" t="s">
        <v>660</v>
      </c>
      <c r="B245" t="s">
        <v>388</v>
      </c>
      <c r="C245" t="s">
        <v>357</v>
      </c>
      <c r="D245" t="s">
        <v>149</v>
      </c>
      <c r="E245" t="s">
        <v>362</v>
      </c>
      <c r="F245" s="10">
        <v>0.95</v>
      </c>
      <c r="G245" s="11">
        <v>45983</v>
      </c>
      <c r="H245" t="s">
        <v>91</v>
      </c>
      <c r="I245" t="s">
        <v>56</v>
      </c>
    </row>
    <row r="246" spans="1:9" x14ac:dyDescent="0.25">
      <c r="A246" t="s">
        <v>661</v>
      </c>
      <c r="B246" t="s">
        <v>446</v>
      </c>
      <c r="C246" t="s">
        <v>368</v>
      </c>
      <c r="D246" t="s">
        <v>124</v>
      </c>
      <c r="E246" t="s">
        <v>369</v>
      </c>
      <c r="F246" s="10">
        <v>0.73</v>
      </c>
      <c r="G246" s="11">
        <v>46171</v>
      </c>
      <c r="H246" t="s">
        <v>91</v>
      </c>
      <c r="I246" t="s">
        <v>56</v>
      </c>
    </row>
    <row r="247" spans="1:9" x14ac:dyDescent="0.25">
      <c r="A247" t="s">
        <v>662</v>
      </c>
      <c r="B247" t="s">
        <v>498</v>
      </c>
      <c r="C247" t="s">
        <v>368</v>
      </c>
      <c r="D247" t="s">
        <v>169</v>
      </c>
      <c r="E247" t="s">
        <v>365</v>
      </c>
      <c r="F247" s="10">
        <v>0.91</v>
      </c>
      <c r="G247" s="11">
        <v>45982</v>
      </c>
      <c r="H247" t="s">
        <v>73</v>
      </c>
      <c r="I247" t="s">
        <v>61</v>
      </c>
    </row>
    <row r="248" spans="1:9" x14ac:dyDescent="0.25">
      <c r="A248" t="s">
        <v>663</v>
      </c>
      <c r="B248" t="s">
        <v>397</v>
      </c>
      <c r="C248" t="s">
        <v>357</v>
      </c>
      <c r="D248" t="s">
        <v>75</v>
      </c>
      <c r="E248" t="s">
        <v>358</v>
      </c>
      <c r="F248" s="10">
        <v>0.59</v>
      </c>
      <c r="G248" s="11">
        <v>46207</v>
      </c>
      <c r="H248" t="s">
        <v>78</v>
      </c>
      <c r="I248" t="s">
        <v>74</v>
      </c>
    </row>
    <row r="249" spans="1:9" x14ac:dyDescent="0.25">
      <c r="A249" t="s">
        <v>664</v>
      </c>
      <c r="B249" t="s">
        <v>397</v>
      </c>
      <c r="C249" t="s">
        <v>368</v>
      </c>
      <c r="D249" t="s">
        <v>263</v>
      </c>
      <c r="E249" t="s">
        <v>358</v>
      </c>
      <c r="F249" s="10">
        <v>0.4</v>
      </c>
      <c r="G249" s="11">
        <v>46058</v>
      </c>
      <c r="H249" t="s">
        <v>65</v>
      </c>
      <c r="I249" t="s">
        <v>84</v>
      </c>
    </row>
    <row r="250" spans="1:9" x14ac:dyDescent="0.25">
      <c r="A250" t="s">
        <v>665</v>
      </c>
      <c r="B250" t="s">
        <v>470</v>
      </c>
      <c r="C250" t="s">
        <v>361</v>
      </c>
      <c r="D250" t="s">
        <v>237</v>
      </c>
      <c r="E250" t="s">
        <v>358</v>
      </c>
      <c r="F250" s="10">
        <v>0.49</v>
      </c>
      <c r="G250" s="11">
        <v>45903</v>
      </c>
      <c r="H250" t="s">
        <v>65</v>
      </c>
      <c r="I250" t="s">
        <v>56</v>
      </c>
    </row>
    <row r="251" spans="1:9" x14ac:dyDescent="0.25">
      <c r="A251" t="s">
        <v>666</v>
      </c>
      <c r="B251" t="s">
        <v>381</v>
      </c>
      <c r="C251" t="s">
        <v>368</v>
      </c>
      <c r="D251" t="s">
        <v>336</v>
      </c>
      <c r="E251" t="s">
        <v>373</v>
      </c>
      <c r="F251" s="10">
        <v>0.89</v>
      </c>
      <c r="G251" s="11">
        <v>45993</v>
      </c>
      <c r="H251" t="s">
        <v>60</v>
      </c>
      <c r="I251" t="s">
        <v>66</v>
      </c>
    </row>
    <row r="252" spans="1:9" x14ac:dyDescent="0.25">
      <c r="A252" t="s">
        <v>667</v>
      </c>
      <c r="B252" t="s">
        <v>372</v>
      </c>
      <c r="C252" t="s">
        <v>361</v>
      </c>
      <c r="D252" t="s">
        <v>207</v>
      </c>
      <c r="E252" t="s">
        <v>369</v>
      </c>
      <c r="F252" s="10">
        <v>0.36</v>
      </c>
      <c r="G252" s="11">
        <v>45909</v>
      </c>
      <c r="H252" t="s">
        <v>60</v>
      </c>
      <c r="I252" t="s">
        <v>74</v>
      </c>
    </row>
    <row r="253" spans="1:9" x14ac:dyDescent="0.25">
      <c r="A253" t="s">
        <v>668</v>
      </c>
      <c r="B253" t="s">
        <v>465</v>
      </c>
      <c r="C253" t="s">
        <v>382</v>
      </c>
      <c r="D253" t="s">
        <v>124</v>
      </c>
      <c r="E253" t="s">
        <v>373</v>
      </c>
      <c r="F253" s="10">
        <v>0.8</v>
      </c>
      <c r="G253" s="11">
        <v>46208</v>
      </c>
      <c r="H253" t="s">
        <v>159</v>
      </c>
      <c r="I253" t="s">
        <v>84</v>
      </c>
    </row>
    <row r="254" spans="1:9" x14ac:dyDescent="0.25">
      <c r="A254" t="s">
        <v>669</v>
      </c>
      <c r="B254" t="s">
        <v>390</v>
      </c>
      <c r="C254" t="s">
        <v>361</v>
      </c>
      <c r="D254" t="s">
        <v>271</v>
      </c>
      <c r="E254" t="s">
        <v>408</v>
      </c>
      <c r="F254" s="10">
        <v>0.36</v>
      </c>
      <c r="G254" s="11">
        <v>46051</v>
      </c>
      <c r="H254" t="s">
        <v>78</v>
      </c>
      <c r="I254" t="s">
        <v>74</v>
      </c>
    </row>
    <row r="255" spans="1:9" x14ac:dyDescent="0.25">
      <c r="A255" t="s">
        <v>670</v>
      </c>
      <c r="B255" t="s">
        <v>395</v>
      </c>
      <c r="C255" t="s">
        <v>361</v>
      </c>
      <c r="D255" t="s">
        <v>181</v>
      </c>
      <c r="E255" t="s">
        <v>419</v>
      </c>
      <c r="F255" s="10">
        <v>0.36</v>
      </c>
      <c r="G255" s="11">
        <v>45937</v>
      </c>
      <c r="H255" t="s">
        <v>60</v>
      </c>
      <c r="I255" t="s">
        <v>74</v>
      </c>
    </row>
    <row r="256" spans="1:9" x14ac:dyDescent="0.25">
      <c r="A256" t="s">
        <v>671</v>
      </c>
      <c r="B256" t="s">
        <v>496</v>
      </c>
      <c r="C256" t="s">
        <v>368</v>
      </c>
      <c r="D256" t="s">
        <v>253</v>
      </c>
      <c r="E256" t="s">
        <v>358</v>
      </c>
      <c r="F256" s="10">
        <v>0.81</v>
      </c>
      <c r="G256" s="11">
        <v>46065</v>
      </c>
      <c r="H256" t="s">
        <v>159</v>
      </c>
      <c r="I256" t="s">
        <v>84</v>
      </c>
    </row>
    <row r="257" spans="1:9" x14ac:dyDescent="0.25">
      <c r="A257" t="s">
        <v>672</v>
      </c>
      <c r="B257" t="s">
        <v>551</v>
      </c>
      <c r="C257" t="s">
        <v>357</v>
      </c>
      <c r="D257" t="s">
        <v>315</v>
      </c>
      <c r="E257" t="s">
        <v>362</v>
      </c>
      <c r="F257" s="10">
        <v>0.83</v>
      </c>
      <c r="G257" s="11">
        <v>46149</v>
      </c>
      <c r="H257" t="s">
        <v>91</v>
      </c>
      <c r="I257" t="s">
        <v>56</v>
      </c>
    </row>
    <row r="258" spans="1:9" x14ac:dyDescent="0.25">
      <c r="A258" t="s">
        <v>673</v>
      </c>
      <c r="B258" t="s">
        <v>498</v>
      </c>
      <c r="C258" t="s">
        <v>382</v>
      </c>
      <c r="D258" t="s">
        <v>278</v>
      </c>
      <c r="E258" t="s">
        <v>369</v>
      </c>
      <c r="F258" s="10">
        <v>0.66</v>
      </c>
      <c r="G258" s="11">
        <v>45963</v>
      </c>
      <c r="H258" t="s">
        <v>159</v>
      </c>
      <c r="I258" t="s">
        <v>61</v>
      </c>
    </row>
    <row r="259" spans="1:9" x14ac:dyDescent="0.25">
      <c r="A259" t="s">
        <v>674</v>
      </c>
      <c r="B259" t="s">
        <v>388</v>
      </c>
      <c r="C259" t="s">
        <v>361</v>
      </c>
      <c r="D259" t="s">
        <v>221</v>
      </c>
      <c r="E259" t="s">
        <v>369</v>
      </c>
      <c r="F259" s="10">
        <v>0.44</v>
      </c>
      <c r="G259" s="11">
        <v>45895</v>
      </c>
      <c r="H259" t="s">
        <v>78</v>
      </c>
      <c r="I259" t="s">
        <v>61</v>
      </c>
    </row>
    <row r="260" spans="1:9" x14ac:dyDescent="0.25">
      <c r="A260" t="s">
        <v>675</v>
      </c>
      <c r="B260" t="s">
        <v>402</v>
      </c>
      <c r="C260" t="s">
        <v>382</v>
      </c>
      <c r="D260" t="s">
        <v>290</v>
      </c>
      <c r="E260" t="s">
        <v>373</v>
      </c>
      <c r="F260" s="10">
        <v>0.64</v>
      </c>
      <c r="G260" s="11">
        <v>46027</v>
      </c>
      <c r="H260" t="s">
        <v>112</v>
      </c>
      <c r="I260" t="s">
        <v>56</v>
      </c>
    </row>
    <row r="261" spans="1:9" x14ac:dyDescent="0.25">
      <c r="A261" t="s">
        <v>676</v>
      </c>
      <c r="B261" t="s">
        <v>384</v>
      </c>
      <c r="C261" t="s">
        <v>368</v>
      </c>
      <c r="D261" t="s">
        <v>340</v>
      </c>
      <c r="E261" t="s">
        <v>365</v>
      </c>
      <c r="F261" s="10">
        <v>0.84</v>
      </c>
      <c r="G261" s="11">
        <v>45960</v>
      </c>
      <c r="H261" t="s">
        <v>55</v>
      </c>
      <c r="I261" t="s">
        <v>84</v>
      </c>
    </row>
    <row r="262" spans="1:9" x14ac:dyDescent="0.25">
      <c r="A262" t="s">
        <v>677</v>
      </c>
      <c r="B262" t="s">
        <v>372</v>
      </c>
      <c r="C262" t="s">
        <v>357</v>
      </c>
      <c r="D262" t="s">
        <v>296</v>
      </c>
      <c r="E262" t="s">
        <v>365</v>
      </c>
      <c r="F262" s="10">
        <v>0.91</v>
      </c>
      <c r="G262" s="11">
        <v>46085</v>
      </c>
      <c r="H262" t="s">
        <v>125</v>
      </c>
      <c r="I262" t="s">
        <v>61</v>
      </c>
    </row>
    <row r="263" spans="1:9" x14ac:dyDescent="0.25">
      <c r="A263" t="s">
        <v>678</v>
      </c>
      <c r="B263" t="s">
        <v>397</v>
      </c>
      <c r="C263" t="s">
        <v>368</v>
      </c>
      <c r="D263" t="s">
        <v>247</v>
      </c>
      <c r="E263" t="s">
        <v>362</v>
      </c>
      <c r="F263" s="10">
        <v>0.65</v>
      </c>
      <c r="G263" s="11">
        <v>45945</v>
      </c>
      <c r="H263" t="s">
        <v>112</v>
      </c>
      <c r="I263" t="s">
        <v>84</v>
      </c>
    </row>
    <row r="264" spans="1:9" x14ac:dyDescent="0.25">
      <c r="A264" t="s">
        <v>679</v>
      </c>
      <c r="B264" t="s">
        <v>360</v>
      </c>
      <c r="C264" t="s">
        <v>361</v>
      </c>
      <c r="D264" t="s">
        <v>81</v>
      </c>
      <c r="E264" t="s">
        <v>408</v>
      </c>
      <c r="F264" s="10">
        <v>0.99</v>
      </c>
      <c r="G264" s="11">
        <v>45874</v>
      </c>
      <c r="H264" t="s">
        <v>78</v>
      </c>
      <c r="I264" t="s">
        <v>66</v>
      </c>
    </row>
    <row r="265" spans="1:9" x14ac:dyDescent="0.25">
      <c r="A265" t="s">
        <v>680</v>
      </c>
      <c r="B265" t="s">
        <v>545</v>
      </c>
      <c r="C265" t="s">
        <v>382</v>
      </c>
      <c r="D265" t="s">
        <v>264</v>
      </c>
      <c r="E265" t="s">
        <v>373</v>
      </c>
      <c r="F265" s="10">
        <v>0.33</v>
      </c>
      <c r="G265" s="11">
        <v>46087</v>
      </c>
      <c r="H265" t="s">
        <v>125</v>
      </c>
      <c r="I265" t="s">
        <v>61</v>
      </c>
    </row>
    <row r="266" spans="1:9" x14ac:dyDescent="0.25">
      <c r="A266" t="s">
        <v>681</v>
      </c>
      <c r="B266" t="s">
        <v>393</v>
      </c>
      <c r="C266" t="s">
        <v>357</v>
      </c>
      <c r="D266" t="s">
        <v>93</v>
      </c>
      <c r="E266" t="s">
        <v>408</v>
      </c>
      <c r="F266" s="10">
        <v>0.63</v>
      </c>
      <c r="G266" s="11">
        <v>46132</v>
      </c>
      <c r="H266" t="s">
        <v>73</v>
      </c>
      <c r="I266" t="s">
        <v>66</v>
      </c>
    </row>
    <row r="267" spans="1:9" x14ac:dyDescent="0.25">
      <c r="A267" t="s">
        <v>682</v>
      </c>
      <c r="B267" t="s">
        <v>390</v>
      </c>
      <c r="C267" t="s">
        <v>382</v>
      </c>
      <c r="D267" t="s">
        <v>302</v>
      </c>
      <c r="E267" t="s">
        <v>365</v>
      </c>
      <c r="F267" s="10">
        <v>0.53</v>
      </c>
      <c r="G267" s="11">
        <v>46168</v>
      </c>
      <c r="H267" t="s">
        <v>60</v>
      </c>
      <c r="I267" t="s">
        <v>84</v>
      </c>
    </row>
    <row r="268" spans="1:9" x14ac:dyDescent="0.25">
      <c r="A268" t="s">
        <v>683</v>
      </c>
      <c r="B268" t="s">
        <v>410</v>
      </c>
      <c r="C268" t="s">
        <v>368</v>
      </c>
      <c r="D268" t="s">
        <v>259</v>
      </c>
      <c r="E268" t="s">
        <v>369</v>
      </c>
      <c r="F268" s="10">
        <v>0.57999999999999996</v>
      </c>
      <c r="G268" s="11">
        <v>46050</v>
      </c>
      <c r="H268" t="s">
        <v>112</v>
      </c>
      <c r="I268" t="s">
        <v>74</v>
      </c>
    </row>
    <row r="269" spans="1:9" x14ac:dyDescent="0.25">
      <c r="A269" t="s">
        <v>684</v>
      </c>
      <c r="B269" t="s">
        <v>379</v>
      </c>
      <c r="C269" t="s">
        <v>382</v>
      </c>
      <c r="D269" t="s">
        <v>343</v>
      </c>
      <c r="E269" t="s">
        <v>391</v>
      </c>
      <c r="F269" s="10">
        <v>0.46</v>
      </c>
      <c r="G269" s="11">
        <v>45879</v>
      </c>
      <c r="H269" t="s">
        <v>112</v>
      </c>
      <c r="I269" t="s">
        <v>84</v>
      </c>
    </row>
    <row r="270" spans="1:9" x14ac:dyDescent="0.25">
      <c r="A270" t="s">
        <v>685</v>
      </c>
      <c r="B270" t="s">
        <v>402</v>
      </c>
      <c r="C270" t="s">
        <v>368</v>
      </c>
      <c r="D270" t="s">
        <v>280</v>
      </c>
      <c r="E270" t="s">
        <v>408</v>
      </c>
      <c r="F270" s="10">
        <v>0.97</v>
      </c>
      <c r="G270" s="11">
        <v>46184</v>
      </c>
      <c r="H270" t="s">
        <v>125</v>
      </c>
      <c r="I270" t="s">
        <v>84</v>
      </c>
    </row>
    <row r="271" spans="1:9" x14ac:dyDescent="0.25">
      <c r="A271" t="s">
        <v>686</v>
      </c>
      <c r="B271" t="s">
        <v>551</v>
      </c>
      <c r="C271" t="s">
        <v>382</v>
      </c>
      <c r="D271" t="s">
        <v>185</v>
      </c>
      <c r="E271" t="s">
        <v>369</v>
      </c>
      <c r="F271" s="10">
        <v>0.38</v>
      </c>
      <c r="G271" s="11">
        <v>45914</v>
      </c>
      <c r="H271" t="s">
        <v>78</v>
      </c>
      <c r="I271" t="s">
        <v>61</v>
      </c>
    </row>
    <row r="272" spans="1:9" x14ac:dyDescent="0.25">
      <c r="A272" t="s">
        <v>687</v>
      </c>
      <c r="B272" t="s">
        <v>568</v>
      </c>
      <c r="C272" t="s">
        <v>382</v>
      </c>
      <c r="D272" t="s">
        <v>261</v>
      </c>
      <c r="E272" t="s">
        <v>369</v>
      </c>
      <c r="F272" s="10">
        <v>0.53</v>
      </c>
      <c r="G272" s="11">
        <v>45905</v>
      </c>
      <c r="H272" t="s">
        <v>55</v>
      </c>
      <c r="I272" t="s">
        <v>66</v>
      </c>
    </row>
    <row r="273" spans="1:9" x14ac:dyDescent="0.25">
      <c r="A273" t="s">
        <v>688</v>
      </c>
      <c r="B273" t="s">
        <v>498</v>
      </c>
      <c r="C273" t="s">
        <v>382</v>
      </c>
      <c r="D273" t="s">
        <v>146</v>
      </c>
      <c r="E273" t="s">
        <v>391</v>
      </c>
      <c r="F273" s="10">
        <v>0.74</v>
      </c>
      <c r="G273" s="11">
        <v>46146</v>
      </c>
      <c r="H273" t="s">
        <v>98</v>
      </c>
      <c r="I273" t="s">
        <v>74</v>
      </c>
    </row>
    <row r="274" spans="1:9" x14ac:dyDescent="0.25">
      <c r="A274" t="s">
        <v>689</v>
      </c>
      <c r="B274" t="s">
        <v>498</v>
      </c>
      <c r="C274" t="s">
        <v>368</v>
      </c>
      <c r="D274" t="s">
        <v>318</v>
      </c>
      <c r="E274" t="s">
        <v>391</v>
      </c>
      <c r="F274" s="10">
        <v>0.63</v>
      </c>
      <c r="G274" s="11">
        <v>45955</v>
      </c>
      <c r="H274" t="s">
        <v>125</v>
      </c>
      <c r="I274" t="s">
        <v>84</v>
      </c>
    </row>
    <row r="275" spans="1:9" x14ac:dyDescent="0.25">
      <c r="A275" t="s">
        <v>690</v>
      </c>
      <c r="B275" t="s">
        <v>384</v>
      </c>
      <c r="C275" t="s">
        <v>361</v>
      </c>
      <c r="D275" t="s">
        <v>169</v>
      </c>
      <c r="E275" t="s">
        <v>408</v>
      </c>
      <c r="F275" s="10">
        <v>0.55000000000000004</v>
      </c>
      <c r="G275" s="11">
        <v>45992</v>
      </c>
      <c r="H275" t="s">
        <v>125</v>
      </c>
      <c r="I275" t="s">
        <v>74</v>
      </c>
    </row>
    <row r="276" spans="1:9" x14ac:dyDescent="0.25">
      <c r="A276" t="s">
        <v>691</v>
      </c>
      <c r="B276" t="s">
        <v>446</v>
      </c>
      <c r="C276" t="s">
        <v>361</v>
      </c>
      <c r="D276" t="s">
        <v>160</v>
      </c>
      <c r="E276" t="s">
        <v>358</v>
      </c>
      <c r="F276" s="10">
        <v>0.38</v>
      </c>
      <c r="G276" s="11">
        <v>45885</v>
      </c>
      <c r="H276" t="s">
        <v>65</v>
      </c>
      <c r="I276" t="s">
        <v>56</v>
      </c>
    </row>
    <row r="277" spans="1:9" x14ac:dyDescent="0.25">
      <c r="A277" t="s">
        <v>692</v>
      </c>
      <c r="B277" t="s">
        <v>364</v>
      </c>
      <c r="C277" t="s">
        <v>361</v>
      </c>
      <c r="D277" t="s">
        <v>209</v>
      </c>
      <c r="E277" t="s">
        <v>362</v>
      </c>
      <c r="F277" s="10">
        <v>0.68</v>
      </c>
      <c r="G277" s="11">
        <v>45873</v>
      </c>
      <c r="H277" t="s">
        <v>78</v>
      </c>
      <c r="I277" t="s">
        <v>61</v>
      </c>
    </row>
    <row r="278" spans="1:9" x14ac:dyDescent="0.25">
      <c r="A278" t="s">
        <v>693</v>
      </c>
      <c r="B278" t="s">
        <v>430</v>
      </c>
      <c r="C278" t="s">
        <v>368</v>
      </c>
      <c r="D278" t="s">
        <v>281</v>
      </c>
      <c r="E278" t="s">
        <v>358</v>
      </c>
      <c r="F278" s="10">
        <v>0.74</v>
      </c>
      <c r="G278" s="11">
        <v>45890</v>
      </c>
      <c r="H278" t="s">
        <v>65</v>
      </c>
      <c r="I278" t="s">
        <v>66</v>
      </c>
    </row>
    <row r="279" spans="1:9" x14ac:dyDescent="0.25">
      <c r="A279" t="s">
        <v>694</v>
      </c>
      <c r="B279" t="s">
        <v>572</v>
      </c>
      <c r="C279" t="s">
        <v>361</v>
      </c>
      <c r="D279" t="s">
        <v>299</v>
      </c>
      <c r="E279" t="s">
        <v>373</v>
      </c>
      <c r="F279" s="10">
        <v>0.56000000000000005</v>
      </c>
      <c r="G279" s="11">
        <v>46117</v>
      </c>
      <c r="H279" t="s">
        <v>125</v>
      </c>
      <c r="I279" t="s">
        <v>74</v>
      </c>
    </row>
    <row r="280" spans="1:9" x14ac:dyDescent="0.25">
      <c r="A280" t="s">
        <v>695</v>
      </c>
      <c r="B280" t="s">
        <v>441</v>
      </c>
      <c r="C280" t="s">
        <v>361</v>
      </c>
      <c r="D280" t="s">
        <v>252</v>
      </c>
      <c r="E280" t="s">
        <v>408</v>
      </c>
      <c r="F280" s="10">
        <v>0.44</v>
      </c>
      <c r="G280" s="11">
        <v>46069</v>
      </c>
      <c r="H280" t="s">
        <v>125</v>
      </c>
      <c r="I280" t="s">
        <v>84</v>
      </c>
    </row>
    <row r="281" spans="1:9" x14ac:dyDescent="0.25">
      <c r="A281" t="s">
        <v>696</v>
      </c>
      <c r="B281" t="s">
        <v>570</v>
      </c>
      <c r="C281" t="s">
        <v>368</v>
      </c>
      <c r="D281" t="s">
        <v>300</v>
      </c>
      <c r="E281" t="s">
        <v>362</v>
      </c>
      <c r="F281" s="10">
        <v>0.62</v>
      </c>
      <c r="G281" s="11">
        <v>45869</v>
      </c>
      <c r="H281" t="s">
        <v>60</v>
      </c>
      <c r="I281" t="s">
        <v>56</v>
      </c>
    </row>
    <row r="282" spans="1:9" x14ac:dyDescent="0.25">
      <c r="A282" t="s">
        <v>697</v>
      </c>
      <c r="B282" t="s">
        <v>405</v>
      </c>
      <c r="C282" t="s">
        <v>368</v>
      </c>
      <c r="D282" t="s">
        <v>201</v>
      </c>
      <c r="E282" t="s">
        <v>365</v>
      </c>
      <c r="F282" s="10">
        <v>0.83</v>
      </c>
      <c r="G282" s="11">
        <v>46069</v>
      </c>
      <c r="H282" t="s">
        <v>78</v>
      </c>
      <c r="I282" t="s">
        <v>66</v>
      </c>
    </row>
    <row r="283" spans="1:9" x14ac:dyDescent="0.25">
      <c r="A283" t="s">
        <v>698</v>
      </c>
      <c r="B283" t="s">
        <v>372</v>
      </c>
      <c r="C283" t="s">
        <v>357</v>
      </c>
      <c r="D283" t="s">
        <v>95</v>
      </c>
      <c r="E283" t="s">
        <v>362</v>
      </c>
      <c r="F283" s="10">
        <v>0.72</v>
      </c>
      <c r="G283" s="11">
        <v>46005</v>
      </c>
      <c r="H283" t="s">
        <v>55</v>
      </c>
      <c r="I283" t="s">
        <v>84</v>
      </c>
    </row>
    <row r="284" spans="1:9" x14ac:dyDescent="0.25">
      <c r="A284" t="s">
        <v>699</v>
      </c>
      <c r="B284" t="s">
        <v>448</v>
      </c>
      <c r="C284" t="s">
        <v>357</v>
      </c>
      <c r="D284" t="s">
        <v>314</v>
      </c>
      <c r="E284" t="s">
        <v>408</v>
      </c>
      <c r="F284" s="10">
        <v>0.24</v>
      </c>
      <c r="G284" s="11">
        <v>46172</v>
      </c>
      <c r="H284" t="s">
        <v>73</v>
      </c>
      <c r="I284" t="s">
        <v>61</v>
      </c>
    </row>
    <row r="285" spans="1:9" x14ac:dyDescent="0.25">
      <c r="A285" t="s">
        <v>700</v>
      </c>
      <c r="B285" t="s">
        <v>484</v>
      </c>
      <c r="C285" t="s">
        <v>368</v>
      </c>
      <c r="D285" t="s">
        <v>231</v>
      </c>
      <c r="E285" t="s">
        <v>419</v>
      </c>
      <c r="F285" s="10">
        <v>0.89</v>
      </c>
      <c r="G285" s="11">
        <v>46215</v>
      </c>
      <c r="H285" t="s">
        <v>73</v>
      </c>
      <c r="I285" t="s">
        <v>74</v>
      </c>
    </row>
    <row r="286" spans="1:9" x14ac:dyDescent="0.25">
      <c r="A286" t="s">
        <v>701</v>
      </c>
      <c r="B286" t="s">
        <v>407</v>
      </c>
      <c r="C286" t="s">
        <v>357</v>
      </c>
      <c r="D286" t="s">
        <v>79</v>
      </c>
      <c r="E286" t="s">
        <v>369</v>
      </c>
      <c r="F286" s="10">
        <v>0.42</v>
      </c>
      <c r="G286" s="11">
        <v>46207</v>
      </c>
      <c r="H286" t="s">
        <v>98</v>
      </c>
      <c r="I286" t="s">
        <v>74</v>
      </c>
    </row>
    <row r="287" spans="1:9" x14ac:dyDescent="0.25">
      <c r="A287" t="s">
        <v>702</v>
      </c>
      <c r="B287" t="s">
        <v>441</v>
      </c>
      <c r="C287" t="s">
        <v>382</v>
      </c>
      <c r="D287" t="s">
        <v>164</v>
      </c>
      <c r="E287" t="s">
        <v>362</v>
      </c>
      <c r="F287" s="10">
        <v>0.56999999999999995</v>
      </c>
      <c r="G287" s="11">
        <v>46100</v>
      </c>
      <c r="H287" t="s">
        <v>78</v>
      </c>
      <c r="I287" t="s">
        <v>56</v>
      </c>
    </row>
    <row r="288" spans="1:9" x14ac:dyDescent="0.25">
      <c r="A288" t="s">
        <v>703</v>
      </c>
      <c r="B288" t="s">
        <v>572</v>
      </c>
      <c r="C288" t="s">
        <v>382</v>
      </c>
      <c r="D288" t="s">
        <v>144</v>
      </c>
      <c r="E288" t="s">
        <v>408</v>
      </c>
      <c r="F288" s="10">
        <v>0.92</v>
      </c>
      <c r="G288" s="11">
        <v>45909</v>
      </c>
      <c r="H288" t="s">
        <v>125</v>
      </c>
      <c r="I288" t="s">
        <v>74</v>
      </c>
    </row>
    <row r="289" spans="1:9" x14ac:dyDescent="0.25">
      <c r="A289" t="s">
        <v>704</v>
      </c>
      <c r="B289" t="s">
        <v>364</v>
      </c>
      <c r="C289" t="s">
        <v>357</v>
      </c>
      <c r="D289" t="s">
        <v>276</v>
      </c>
      <c r="E289" t="s">
        <v>408</v>
      </c>
      <c r="F289" s="10">
        <v>1</v>
      </c>
      <c r="G289" s="11">
        <v>45896</v>
      </c>
      <c r="H289" t="s">
        <v>98</v>
      </c>
      <c r="I289" t="s">
        <v>74</v>
      </c>
    </row>
    <row r="290" spans="1:9" x14ac:dyDescent="0.25">
      <c r="A290" t="s">
        <v>705</v>
      </c>
      <c r="B290" t="s">
        <v>446</v>
      </c>
      <c r="C290" t="s">
        <v>361</v>
      </c>
      <c r="D290" t="s">
        <v>308</v>
      </c>
      <c r="E290" t="s">
        <v>419</v>
      </c>
      <c r="F290" s="10">
        <v>0.65</v>
      </c>
      <c r="G290" s="11">
        <v>46019</v>
      </c>
      <c r="H290" t="s">
        <v>159</v>
      </c>
      <c r="I290" t="s">
        <v>74</v>
      </c>
    </row>
    <row r="291" spans="1:9" x14ac:dyDescent="0.25">
      <c r="A291" t="s">
        <v>706</v>
      </c>
      <c r="B291" t="s">
        <v>375</v>
      </c>
      <c r="C291" t="s">
        <v>357</v>
      </c>
      <c r="D291" t="s">
        <v>225</v>
      </c>
      <c r="E291" t="s">
        <v>362</v>
      </c>
      <c r="F291" s="10">
        <v>0.42</v>
      </c>
      <c r="G291" s="11">
        <v>46116</v>
      </c>
      <c r="H291" t="s">
        <v>91</v>
      </c>
      <c r="I291" t="s">
        <v>74</v>
      </c>
    </row>
    <row r="292" spans="1:9" x14ac:dyDescent="0.25">
      <c r="A292" t="s">
        <v>707</v>
      </c>
      <c r="B292" t="s">
        <v>405</v>
      </c>
      <c r="C292" t="s">
        <v>382</v>
      </c>
      <c r="D292" t="s">
        <v>287</v>
      </c>
      <c r="E292" t="s">
        <v>391</v>
      </c>
      <c r="F292" s="10">
        <v>0.37</v>
      </c>
      <c r="G292" s="11">
        <v>46090</v>
      </c>
      <c r="H292" t="s">
        <v>112</v>
      </c>
      <c r="I292" t="s">
        <v>84</v>
      </c>
    </row>
    <row r="293" spans="1:9" x14ac:dyDescent="0.25">
      <c r="A293" t="s">
        <v>708</v>
      </c>
      <c r="B293" t="s">
        <v>570</v>
      </c>
      <c r="C293" t="s">
        <v>357</v>
      </c>
      <c r="D293" t="s">
        <v>232</v>
      </c>
      <c r="E293" t="s">
        <v>373</v>
      </c>
      <c r="F293" s="10">
        <v>0.48</v>
      </c>
      <c r="G293" s="11">
        <v>46086</v>
      </c>
      <c r="H293" t="s">
        <v>55</v>
      </c>
      <c r="I293" t="s">
        <v>74</v>
      </c>
    </row>
    <row r="294" spans="1:9" x14ac:dyDescent="0.25">
      <c r="A294" t="s">
        <v>709</v>
      </c>
      <c r="B294" t="s">
        <v>390</v>
      </c>
      <c r="C294" t="s">
        <v>361</v>
      </c>
      <c r="D294" t="s">
        <v>330</v>
      </c>
      <c r="E294" t="s">
        <v>408</v>
      </c>
      <c r="F294" s="10">
        <v>0.22</v>
      </c>
      <c r="G294" s="11">
        <v>45949</v>
      </c>
      <c r="H294" t="s">
        <v>98</v>
      </c>
      <c r="I294" t="s">
        <v>66</v>
      </c>
    </row>
    <row r="295" spans="1:9" x14ac:dyDescent="0.25">
      <c r="A295" t="s">
        <v>710</v>
      </c>
      <c r="B295" t="s">
        <v>451</v>
      </c>
      <c r="C295" t="s">
        <v>357</v>
      </c>
      <c r="D295" t="s">
        <v>329</v>
      </c>
      <c r="E295" t="s">
        <v>373</v>
      </c>
      <c r="F295" s="10">
        <v>0.61</v>
      </c>
      <c r="G295" s="11">
        <v>46135</v>
      </c>
      <c r="H295" t="s">
        <v>78</v>
      </c>
      <c r="I295" t="s">
        <v>61</v>
      </c>
    </row>
    <row r="296" spans="1:9" x14ac:dyDescent="0.25">
      <c r="A296" t="s">
        <v>711</v>
      </c>
      <c r="B296" t="s">
        <v>381</v>
      </c>
      <c r="C296" t="s">
        <v>368</v>
      </c>
      <c r="D296" t="s">
        <v>272</v>
      </c>
      <c r="E296" t="s">
        <v>373</v>
      </c>
      <c r="F296" s="10">
        <v>0.55000000000000004</v>
      </c>
      <c r="G296" s="11">
        <v>46064</v>
      </c>
      <c r="H296" t="s">
        <v>65</v>
      </c>
      <c r="I296" t="s">
        <v>56</v>
      </c>
    </row>
    <row r="297" spans="1:9" x14ac:dyDescent="0.25">
      <c r="A297" t="s">
        <v>712</v>
      </c>
      <c r="B297" t="s">
        <v>415</v>
      </c>
      <c r="C297" t="s">
        <v>382</v>
      </c>
      <c r="D297" t="s">
        <v>119</v>
      </c>
      <c r="E297" t="s">
        <v>391</v>
      </c>
      <c r="F297" s="10">
        <v>0.46</v>
      </c>
      <c r="G297" s="11">
        <v>46135</v>
      </c>
      <c r="H297" t="s">
        <v>98</v>
      </c>
      <c r="I297" t="s">
        <v>84</v>
      </c>
    </row>
    <row r="298" spans="1:9" x14ac:dyDescent="0.25">
      <c r="A298" t="s">
        <v>713</v>
      </c>
      <c r="B298" t="s">
        <v>375</v>
      </c>
      <c r="C298" t="s">
        <v>382</v>
      </c>
      <c r="D298" t="s">
        <v>227</v>
      </c>
      <c r="E298" t="s">
        <v>408</v>
      </c>
      <c r="F298" s="10">
        <v>0.28000000000000003</v>
      </c>
      <c r="G298" s="11">
        <v>46078</v>
      </c>
      <c r="H298" t="s">
        <v>73</v>
      </c>
      <c r="I298" t="s">
        <v>56</v>
      </c>
    </row>
    <row r="299" spans="1:9" x14ac:dyDescent="0.25">
      <c r="A299" t="s">
        <v>714</v>
      </c>
      <c r="B299" t="s">
        <v>410</v>
      </c>
      <c r="C299" t="s">
        <v>357</v>
      </c>
      <c r="D299" t="s">
        <v>287</v>
      </c>
      <c r="E299" t="s">
        <v>369</v>
      </c>
      <c r="F299" s="10">
        <v>0.66</v>
      </c>
      <c r="G299" s="11">
        <v>45869</v>
      </c>
      <c r="H299" t="s">
        <v>65</v>
      </c>
      <c r="I299" t="s">
        <v>61</v>
      </c>
    </row>
    <row r="300" spans="1:9" x14ac:dyDescent="0.25">
      <c r="A300" t="s">
        <v>715</v>
      </c>
      <c r="B300" t="s">
        <v>372</v>
      </c>
      <c r="C300" t="s">
        <v>361</v>
      </c>
      <c r="D300" t="s">
        <v>126</v>
      </c>
      <c r="E300" t="s">
        <v>362</v>
      </c>
      <c r="F300" s="10">
        <v>0.97</v>
      </c>
      <c r="G300" s="11">
        <v>45911</v>
      </c>
      <c r="H300" t="s">
        <v>91</v>
      </c>
      <c r="I300" t="s">
        <v>84</v>
      </c>
    </row>
    <row r="301" spans="1:9" x14ac:dyDescent="0.25">
      <c r="A301" t="s">
        <v>716</v>
      </c>
      <c r="B301" t="s">
        <v>443</v>
      </c>
      <c r="C301" t="s">
        <v>382</v>
      </c>
      <c r="D301" t="s">
        <v>274</v>
      </c>
      <c r="E301" t="s">
        <v>365</v>
      </c>
      <c r="F301" s="10">
        <v>0.46</v>
      </c>
      <c r="G301" s="11">
        <v>46123</v>
      </c>
      <c r="H301" t="s">
        <v>112</v>
      </c>
      <c r="I301" t="s">
        <v>84</v>
      </c>
    </row>
    <row r="302" spans="1:9" x14ac:dyDescent="0.25">
      <c r="A302" t="s">
        <v>717</v>
      </c>
      <c r="B302" t="s">
        <v>423</v>
      </c>
      <c r="C302" t="s">
        <v>382</v>
      </c>
      <c r="D302" t="s">
        <v>267</v>
      </c>
      <c r="E302" t="s">
        <v>373</v>
      </c>
      <c r="F302" s="10">
        <v>0.34</v>
      </c>
      <c r="G302" s="11">
        <v>46121</v>
      </c>
      <c r="H302" t="s">
        <v>125</v>
      </c>
      <c r="I302" t="s">
        <v>66</v>
      </c>
    </row>
    <row r="303" spans="1:9" x14ac:dyDescent="0.25">
      <c r="A303" t="s">
        <v>718</v>
      </c>
      <c r="B303" t="s">
        <v>568</v>
      </c>
      <c r="C303" t="s">
        <v>361</v>
      </c>
      <c r="D303" t="s">
        <v>103</v>
      </c>
      <c r="E303" t="s">
        <v>358</v>
      </c>
      <c r="F303" s="10">
        <v>0.9</v>
      </c>
      <c r="G303" s="11">
        <v>46130</v>
      </c>
      <c r="H303" t="s">
        <v>98</v>
      </c>
      <c r="I303" t="s">
        <v>74</v>
      </c>
    </row>
    <row r="304" spans="1:9" x14ac:dyDescent="0.25">
      <c r="A304" t="s">
        <v>719</v>
      </c>
      <c r="B304" t="s">
        <v>487</v>
      </c>
      <c r="C304" t="s">
        <v>357</v>
      </c>
      <c r="D304" t="s">
        <v>177</v>
      </c>
      <c r="E304" t="s">
        <v>365</v>
      </c>
      <c r="F304" s="10">
        <v>0.34</v>
      </c>
      <c r="G304" s="11">
        <v>46077</v>
      </c>
      <c r="H304" t="s">
        <v>60</v>
      </c>
      <c r="I304" t="s">
        <v>84</v>
      </c>
    </row>
    <row r="305" spans="1:9" x14ac:dyDescent="0.25">
      <c r="A305" t="s">
        <v>720</v>
      </c>
      <c r="B305" t="s">
        <v>568</v>
      </c>
      <c r="C305" t="s">
        <v>357</v>
      </c>
      <c r="D305" t="s">
        <v>191</v>
      </c>
      <c r="E305" t="s">
        <v>419</v>
      </c>
      <c r="F305" s="10">
        <v>0.81</v>
      </c>
      <c r="G305" s="11">
        <v>46130</v>
      </c>
      <c r="H305" t="s">
        <v>55</v>
      </c>
      <c r="I305" t="s">
        <v>84</v>
      </c>
    </row>
    <row r="306" spans="1:9" x14ac:dyDescent="0.25">
      <c r="A306" t="s">
        <v>721</v>
      </c>
      <c r="B306" t="s">
        <v>372</v>
      </c>
      <c r="C306" t="s">
        <v>368</v>
      </c>
      <c r="D306" t="s">
        <v>250</v>
      </c>
      <c r="E306" t="s">
        <v>362</v>
      </c>
      <c r="F306" s="10">
        <v>0.73</v>
      </c>
      <c r="G306" s="11">
        <v>46156</v>
      </c>
      <c r="H306" t="s">
        <v>60</v>
      </c>
      <c r="I306" t="s">
        <v>74</v>
      </c>
    </row>
    <row r="307" spans="1:9" x14ac:dyDescent="0.25">
      <c r="A307" t="s">
        <v>722</v>
      </c>
      <c r="B307" t="s">
        <v>397</v>
      </c>
      <c r="C307" t="s">
        <v>382</v>
      </c>
      <c r="D307" t="s">
        <v>111</v>
      </c>
      <c r="E307" t="s">
        <v>365</v>
      </c>
      <c r="F307" s="10">
        <v>0.85</v>
      </c>
      <c r="G307" s="11">
        <v>45903</v>
      </c>
      <c r="H307" t="s">
        <v>60</v>
      </c>
      <c r="I307" t="s">
        <v>84</v>
      </c>
    </row>
    <row r="308" spans="1:9" x14ac:dyDescent="0.25">
      <c r="A308" t="s">
        <v>723</v>
      </c>
      <c r="B308" t="s">
        <v>395</v>
      </c>
      <c r="C308" t="s">
        <v>361</v>
      </c>
      <c r="D308" t="s">
        <v>177</v>
      </c>
      <c r="E308" t="s">
        <v>358</v>
      </c>
      <c r="F308" s="10">
        <v>0.62</v>
      </c>
      <c r="G308" s="11">
        <v>45911</v>
      </c>
      <c r="H308" t="s">
        <v>98</v>
      </c>
      <c r="I308" t="s">
        <v>74</v>
      </c>
    </row>
    <row r="309" spans="1:9" x14ac:dyDescent="0.25">
      <c r="A309" t="s">
        <v>724</v>
      </c>
      <c r="B309" t="s">
        <v>395</v>
      </c>
      <c r="C309" t="s">
        <v>357</v>
      </c>
      <c r="D309" t="s">
        <v>169</v>
      </c>
      <c r="E309" t="s">
        <v>419</v>
      </c>
      <c r="F309" s="10">
        <v>0.23</v>
      </c>
      <c r="G309" s="11">
        <v>45870</v>
      </c>
      <c r="H309" t="s">
        <v>78</v>
      </c>
      <c r="I309" t="s">
        <v>61</v>
      </c>
    </row>
    <row r="310" spans="1:9" x14ac:dyDescent="0.25">
      <c r="A310" t="s">
        <v>725</v>
      </c>
      <c r="B310" t="s">
        <v>482</v>
      </c>
      <c r="C310" t="s">
        <v>361</v>
      </c>
      <c r="D310" t="s">
        <v>214</v>
      </c>
      <c r="E310" t="s">
        <v>391</v>
      </c>
      <c r="F310" s="10">
        <v>0.97</v>
      </c>
      <c r="G310" s="11">
        <v>45899</v>
      </c>
      <c r="H310" t="s">
        <v>55</v>
      </c>
      <c r="I310" t="s">
        <v>84</v>
      </c>
    </row>
    <row r="311" spans="1:9" x14ac:dyDescent="0.25">
      <c r="A311" t="s">
        <v>726</v>
      </c>
      <c r="B311" t="s">
        <v>446</v>
      </c>
      <c r="C311" t="s">
        <v>361</v>
      </c>
      <c r="D311" t="s">
        <v>338</v>
      </c>
      <c r="E311" t="s">
        <v>391</v>
      </c>
      <c r="F311" s="10">
        <v>0.83</v>
      </c>
      <c r="G311" s="11">
        <v>45996</v>
      </c>
      <c r="H311" t="s">
        <v>125</v>
      </c>
      <c r="I311" t="s">
        <v>56</v>
      </c>
    </row>
    <row r="312" spans="1:9" x14ac:dyDescent="0.25">
      <c r="A312" t="s">
        <v>727</v>
      </c>
      <c r="B312" t="s">
        <v>393</v>
      </c>
      <c r="C312" t="s">
        <v>361</v>
      </c>
      <c r="D312" t="s">
        <v>177</v>
      </c>
      <c r="E312" t="s">
        <v>369</v>
      </c>
      <c r="F312" s="10">
        <v>0.51</v>
      </c>
      <c r="G312" s="11">
        <v>46222</v>
      </c>
      <c r="H312" t="s">
        <v>159</v>
      </c>
      <c r="I312" t="s">
        <v>61</v>
      </c>
    </row>
    <row r="313" spans="1:9" x14ac:dyDescent="0.25">
      <c r="A313" t="s">
        <v>728</v>
      </c>
      <c r="B313" t="s">
        <v>397</v>
      </c>
      <c r="C313" t="s">
        <v>382</v>
      </c>
      <c r="D313" t="s">
        <v>256</v>
      </c>
      <c r="E313" t="s">
        <v>408</v>
      </c>
      <c r="F313" s="10">
        <v>0.65</v>
      </c>
      <c r="G313" s="11">
        <v>46154</v>
      </c>
      <c r="H313" t="s">
        <v>91</v>
      </c>
      <c r="I313" t="s">
        <v>66</v>
      </c>
    </row>
    <row r="314" spans="1:9" x14ac:dyDescent="0.25">
      <c r="A314" t="s">
        <v>729</v>
      </c>
      <c r="B314" t="s">
        <v>473</v>
      </c>
      <c r="C314" t="s">
        <v>368</v>
      </c>
      <c r="D314" t="s">
        <v>199</v>
      </c>
      <c r="E314" t="s">
        <v>373</v>
      </c>
      <c r="F314" s="10">
        <v>0.59</v>
      </c>
      <c r="G314" s="11">
        <v>46160</v>
      </c>
      <c r="H314" t="s">
        <v>73</v>
      </c>
      <c r="I314" t="s">
        <v>84</v>
      </c>
    </row>
    <row r="315" spans="1:9" x14ac:dyDescent="0.25">
      <c r="A315" t="s">
        <v>730</v>
      </c>
      <c r="B315" t="s">
        <v>407</v>
      </c>
      <c r="C315" t="s">
        <v>357</v>
      </c>
      <c r="D315" t="s">
        <v>305</v>
      </c>
      <c r="E315" t="s">
        <v>365</v>
      </c>
      <c r="F315" s="10">
        <v>0.36</v>
      </c>
      <c r="G315" s="11">
        <v>46126</v>
      </c>
      <c r="H315" t="s">
        <v>55</v>
      </c>
      <c r="I315" t="s">
        <v>84</v>
      </c>
    </row>
    <row r="316" spans="1:9" x14ac:dyDescent="0.25">
      <c r="A316" t="s">
        <v>731</v>
      </c>
      <c r="B316" t="s">
        <v>410</v>
      </c>
      <c r="C316" t="s">
        <v>368</v>
      </c>
      <c r="D316" t="s">
        <v>218</v>
      </c>
      <c r="E316" t="s">
        <v>373</v>
      </c>
      <c r="F316" s="10">
        <v>0.34</v>
      </c>
      <c r="G316" s="11">
        <v>45997</v>
      </c>
      <c r="H316" t="s">
        <v>125</v>
      </c>
      <c r="I316" t="s">
        <v>66</v>
      </c>
    </row>
    <row r="317" spans="1:9" x14ac:dyDescent="0.25">
      <c r="A317" t="s">
        <v>732</v>
      </c>
      <c r="B317" t="s">
        <v>496</v>
      </c>
      <c r="C317" t="s">
        <v>382</v>
      </c>
      <c r="D317" t="s">
        <v>233</v>
      </c>
      <c r="E317" t="s">
        <v>391</v>
      </c>
      <c r="F317" s="10">
        <v>0.79</v>
      </c>
      <c r="G317" s="11">
        <v>45966</v>
      </c>
      <c r="H317" t="s">
        <v>73</v>
      </c>
      <c r="I317" t="s">
        <v>74</v>
      </c>
    </row>
    <row r="318" spans="1:9" x14ac:dyDescent="0.25">
      <c r="A318" t="s">
        <v>733</v>
      </c>
      <c r="B318" t="s">
        <v>407</v>
      </c>
      <c r="C318" t="s">
        <v>368</v>
      </c>
      <c r="D318" t="s">
        <v>240</v>
      </c>
      <c r="E318" t="s">
        <v>419</v>
      </c>
      <c r="F318" s="10">
        <v>0.71</v>
      </c>
      <c r="G318" s="11">
        <v>45924</v>
      </c>
      <c r="H318" t="s">
        <v>78</v>
      </c>
      <c r="I318" t="s">
        <v>56</v>
      </c>
    </row>
    <row r="319" spans="1:9" x14ac:dyDescent="0.25">
      <c r="A319" t="s">
        <v>734</v>
      </c>
      <c r="B319" t="s">
        <v>441</v>
      </c>
      <c r="C319" t="s">
        <v>357</v>
      </c>
      <c r="D319" t="s">
        <v>306</v>
      </c>
      <c r="E319" t="s">
        <v>391</v>
      </c>
      <c r="F319" s="10">
        <v>0.57999999999999996</v>
      </c>
      <c r="G319" s="11">
        <v>46006</v>
      </c>
      <c r="H319" t="s">
        <v>159</v>
      </c>
      <c r="I319" t="s">
        <v>74</v>
      </c>
    </row>
    <row r="320" spans="1:9" x14ac:dyDescent="0.25">
      <c r="A320" t="s">
        <v>735</v>
      </c>
      <c r="B320" t="s">
        <v>360</v>
      </c>
      <c r="C320" t="s">
        <v>382</v>
      </c>
      <c r="D320" t="s">
        <v>328</v>
      </c>
      <c r="E320" t="s">
        <v>408</v>
      </c>
      <c r="F320" s="10">
        <v>0.43</v>
      </c>
      <c r="G320" s="11">
        <v>46044</v>
      </c>
      <c r="H320" t="s">
        <v>65</v>
      </c>
      <c r="I320" t="s">
        <v>66</v>
      </c>
    </row>
    <row r="321" spans="1:9" x14ac:dyDescent="0.25">
      <c r="A321" t="s">
        <v>736</v>
      </c>
      <c r="B321" t="s">
        <v>568</v>
      </c>
      <c r="C321" t="s">
        <v>368</v>
      </c>
      <c r="D321" t="s">
        <v>132</v>
      </c>
      <c r="E321" t="s">
        <v>365</v>
      </c>
      <c r="F321" s="10">
        <v>0.98</v>
      </c>
      <c r="G321" s="11">
        <v>46117</v>
      </c>
      <c r="H321" t="s">
        <v>60</v>
      </c>
      <c r="I321" t="s">
        <v>61</v>
      </c>
    </row>
    <row r="322" spans="1:9" x14ac:dyDescent="0.25">
      <c r="A322" t="s">
        <v>737</v>
      </c>
      <c r="B322" t="s">
        <v>451</v>
      </c>
      <c r="C322" t="s">
        <v>368</v>
      </c>
      <c r="D322" t="s">
        <v>113</v>
      </c>
      <c r="E322" t="s">
        <v>365</v>
      </c>
      <c r="F322" s="10">
        <v>0.86</v>
      </c>
      <c r="G322" s="11">
        <v>46001</v>
      </c>
      <c r="H322" t="s">
        <v>60</v>
      </c>
      <c r="I322" t="s">
        <v>61</v>
      </c>
    </row>
    <row r="323" spans="1:9" x14ac:dyDescent="0.25">
      <c r="A323" t="s">
        <v>738</v>
      </c>
      <c r="B323" t="s">
        <v>441</v>
      </c>
      <c r="C323" t="s">
        <v>368</v>
      </c>
      <c r="D323" t="s">
        <v>127</v>
      </c>
      <c r="E323" t="s">
        <v>358</v>
      </c>
      <c r="F323" s="10">
        <v>0.21</v>
      </c>
      <c r="G323" s="11">
        <v>46081</v>
      </c>
      <c r="H323" t="s">
        <v>60</v>
      </c>
      <c r="I323" t="s">
        <v>66</v>
      </c>
    </row>
    <row r="324" spans="1:9" x14ac:dyDescent="0.25">
      <c r="A324" t="s">
        <v>739</v>
      </c>
      <c r="B324" t="s">
        <v>451</v>
      </c>
      <c r="C324" t="s">
        <v>382</v>
      </c>
      <c r="D324" t="s">
        <v>317</v>
      </c>
      <c r="E324" t="s">
        <v>373</v>
      </c>
      <c r="F324" s="10">
        <v>0.32</v>
      </c>
      <c r="G324" s="11">
        <v>46078</v>
      </c>
      <c r="H324" t="s">
        <v>91</v>
      </c>
      <c r="I324" t="s">
        <v>61</v>
      </c>
    </row>
    <row r="325" spans="1:9" x14ac:dyDescent="0.25">
      <c r="A325" t="s">
        <v>740</v>
      </c>
      <c r="B325" t="s">
        <v>415</v>
      </c>
      <c r="C325" t="s">
        <v>357</v>
      </c>
      <c r="D325" t="s">
        <v>274</v>
      </c>
      <c r="E325" t="s">
        <v>358</v>
      </c>
      <c r="F325" s="10">
        <v>0.74</v>
      </c>
      <c r="G325" s="11">
        <v>45955</v>
      </c>
      <c r="H325" t="s">
        <v>55</v>
      </c>
      <c r="I325" t="s">
        <v>84</v>
      </c>
    </row>
    <row r="326" spans="1:9" x14ac:dyDescent="0.25">
      <c r="A326" t="s">
        <v>741</v>
      </c>
      <c r="B326" t="s">
        <v>484</v>
      </c>
      <c r="C326" t="s">
        <v>368</v>
      </c>
      <c r="D326" t="s">
        <v>155</v>
      </c>
      <c r="E326" t="s">
        <v>373</v>
      </c>
      <c r="F326" s="10">
        <v>0.56000000000000005</v>
      </c>
      <c r="G326" s="11">
        <v>46104</v>
      </c>
      <c r="H326" t="s">
        <v>60</v>
      </c>
      <c r="I326" t="s">
        <v>66</v>
      </c>
    </row>
    <row r="327" spans="1:9" x14ac:dyDescent="0.25">
      <c r="A327" t="s">
        <v>742</v>
      </c>
      <c r="B327" t="s">
        <v>443</v>
      </c>
      <c r="C327" t="s">
        <v>357</v>
      </c>
      <c r="D327" t="s">
        <v>327</v>
      </c>
      <c r="E327" t="s">
        <v>369</v>
      </c>
      <c r="F327" s="10">
        <v>0.38</v>
      </c>
      <c r="G327" s="11">
        <v>46068</v>
      </c>
      <c r="H327" t="s">
        <v>112</v>
      </c>
      <c r="I327" t="s">
        <v>74</v>
      </c>
    </row>
    <row r="328" spans="1:9" x14ac:dyDescent="0.25">
      <c r="A328" t="s">
        <v>743</v>
      </c>
      <c r="B328" t="s">
        <v>375</v>
      </c>
      <c r="C328" t="s">
        <v>382</v>
      </c>
      <c r="D328" t="s">
        <v>217</v>
      </c>
      <c r="E328" t="s">
        <v>365</v>
      </c>
      <c r="F328" s="10">
        <v>0.32</v>
      </c>
      <c r="G328" s="11">
        <v>46180</v>
      </c>
      <c r="H328" t="s">
        <v>60</v>
      </c>
      <c r="I328" t="s">
        <v>74</v>
      </c>
    </row>
    <row r="329" spans="1:9" x14ac:dyDescent="0.25">
      <c r="A329" t="s">
        <v>744</v>
      </c>
      <c r="B329" t="s">
        <v>407</v>
      </c>
      <c r="C329" t="s">
        <v>361</v>
      </c>
      <c r="D329" t="s">
        <v>164</v>
      </c>
      <c r="E329" t="s">
        <v>419</v>
      </c>
      <c r="F329" s="10">
        <v>0.39</v>
      </c>
      <c r="G329" s="11">
        <v>45927</v>
      </c>
      <c r="H329" t="s">
        <v>65</v>
      </c>
      <c r="I329" t="s">
        <v>84</v>
      </c>
    </row>
    <row r="330" spans="1:9" x14ac:dyDescent="0.25">
      <c r="A330" t="s">
        <v>745</v>
      </c>
      <c r="B330" t="s">
        <v>375</v>
      </c>
      <c r="C330" t="s">
        <v>361</v>
      </c>
      <c r="D330" t="s">
        <v>85</v>
      </c>
      <c r="E330" t="s">
        <v>358</v>
      </c>
      <c r="F330" s="10">
        <v>0.95</v>
      </c>
      <c r="G330" s="11">
        <v>45950</v>
      </c>
      <c r="H330" t="s">
        <v>98</v>
      </c>
      <c r="I330" t="s">
        <v>56</v>
      </c>
    </row>
    <row r="331" spans="1:9" x14ac:dyDescent="0.25">
      <c r="A331" t="s">
        <v>746</v>
      </c>
      <c r="B331" t="s">
        <v>427</v>
      </c>
      <c r="C331" t="s">
        <v>382</v>
      </c>
      <c r="D331" t="s">
        <v>184</v>
      </c>
      <c r="E331" t="s">
        <v>369</v>
      </c>
      <c r="F331" s="10">
        <v>0.61</v>
      </c>
      <c r="G331" s="11">
        <v>46044</v>
      </c>
      <c r="H331" t="s">
        <v>60</v>
      </c>
      <c r="I331" t="s">
        <v>74</v>
      </c>
    </row>
    <row r="332" spans="1:9" x14ac:dyDescent="0.25">
      <c r="A332" t="s">
        <v>747</v>
      </c>
      <c r="B332" t="s">
        <v>395</v>
      </c>
      <c r="C332" t="s">
        <v>382</v>
      </c>
      <c r="D332" t="s">
        <v>300</v>
      </c>
      <c r="E332" t="s">
        <v>419</v>
      </c>
      <c r="F332" s="10">
        <v>0.77</v>
      </c>
      <c r="G332" s="11">
        <v>46064</v>
      </c>
      <c r="H332" t="s">
        <v>55</v>
      </c>
      <c r="I332" t="s">
        <v>61</v>
      </c>
    </row>
    <row r="333" spans="1:9" x14ac:dyDescent="0.25">
      <c r="A333" t="s">
        <v>748</v>
      </c>
      <c r="B333" t="s">
        <v>441</v>
      </c>
      <c r="C333" t="s">
        <v>361</v>
      </c>
      <c r="D333" t="s">
        <v>58</v>
      </c>
      <c r="E333" t="s">
        <v>408</v>
      </c>
      <c r="F333" s="10">
        <v>0.27</v>
      </c>
      <c r="G333" s="11">
        <v>46111</v>
      </c>
      <c r="H333" t="s">
        <v>112</v>
      </c>
      <c r="I333" t="s">
        <v>61</v>
      </c>
    </row>
    <row r="334" spans="1:9" x14ac:dyDescent="0.25">
      <c r="A334" t="s">
        <v>749</v>
      </c>
      <c r="B334" t="s">
        <v>402</v>
      </c>
      <c r="C334" t="s">
        <v>382</v>
      </c>
      <c r="D334" t="s">
        <v>284</v>
      </c>
      <c r="E334" t="s">
        <v>373</v>
      </c>
      <c r="F334" s="10">
        <v>0.73</v>
      </c>
      <c r="G334" s="11">
        <v>45983</v>
      </c>
      <c r="H334" t="s">
        <v>98</v>
      </c>
      <c r="I334" t="s">
        <v>56</v>
      </c>
    </row>
    <row r="335" spans="1:9" x14ac:dyDescent="0.25">
      <c r="A335" t="s">
        <v>750</v>
      </c>
      <c r="B335" t="s">
        <v>462</v>
      </c>
      <c r="C335" t="s">
        <v>357</v>
      </c>
      <c r="D335" t="s">
        <v>227</v>
      </c>
      <c r="E335" t="s">
        <v>408</v>
      </c>
      <c r="F335" s="10">
        <v>0.42</v>
      </c>
      <c r="G335" s="11">
        <v>46091</v>
      </c>
      <c r="H335" t="s">
        <v>125</v>
      </c>
      <c r="I335" t="s">
        <v>74</v>
      </c>
    </row>
    <row r="336" spans="1:9" x14ac:dyDescent="0.25">
      <c r="A336" t="s">
        <v>751</v>
      </c>
      <c r="B336" t="s">
        <v>395</v>
      </c>
      <c r="C336" t="s">
        <v>361</v>
      </c>
      <c r="D336" t="s">
        <v>109</v>
      </c>
      <c r="E336" t="s">
        <v>408</v>
      </c>
      <c r="F336" s="10">
        <v>0.37</v>
      </c>
      <c r="G336" s="11">
        <v>46175</v>
      </c>
      <c r="H336" t="s">
        <v>91</v>
      </c>
      <c r="I336" t="s">
        <v>56</v>
      </c>
    </row>
    <row r="337" spans="1:9" x14ac:dyDescent="0.25">
      <c r="A337" t="s">
        <v>752</v>
      </c>
      <c r="B337" t="s">
        <v>511</v>
      </c>
      <c r="C337" t="s">
        <v>368</v>
      </c>
      <c r="D337" t="s">
        <v>121</v>
      </c>
      <c r="E337" t="s">
        <v>365</v>
      </c>
      <c r="F337" s="10">
        <v>0.7</v>
      </c>
      <c r="G337" s="11">
        <v>46222</v>
      </c>
      <c r="H337" t="s">
        <v>112</v>
      </c>
      <c r="I337" t="s">
        <v>56</v>
      </c>
    </row>
    <row r="338" spans="1:9" x14ac:dyDescent="0.25">
      <c r="A338" t="s">
        <v>753</v>
      </c>
      <c r="B338" t="s">
        <v>451</v>
      </c>
      <c r="C338" t="s">
        <v>361</v>
      </c>
      <c r="D338" t="s">
        <v>212</v>
      </c>
      <c r="E338" t="s">
        <v>373</v>
      </c>
      <c r="F338" s="10">
        <v>0.24</v>
      </c>
      <c r="G338" s="11">
        <v>45918</v>
      </c>
      <c r="H338" t="s">
        <v>159</v>
      </c>
      <c r="I338" t="s">
        <v>56</v>
      </c>
    </row>
    <row r="339" spans="1:9" x14ac:dyDescent="0.25">
      <c r="A339" t="s">
        <v>754</v>
      </c>
      <c r="B339" t="s">
        <v>407</v>
      </c>
      <c r="C339" t="s">
        <v>357</v>
      </c>
      <c r="D339" t="s">
        <v>251</v>
      </c>
      <c r="E339" t="s">
        <v>358</v>
      </c>
      <c r="F339" s="10">
        <v>0.95</v>
      </c>
      <c r="G339" s="11">
        <v>45922</v>
      </c>
      <c r="H339" t="s">
        <v>98</v>
      </c>
      <c r="I339" t="s">
        <v>66</v>
      </c>
    </row>
    <row r="340" spans="1:9" x14ac:dyDescent="0.25">
      <c r="A340" t="s">
        <v>755</v>
      </c>
      <c r="B340" t="s">
        <v>415</v>
      </c>
      <c r="C340" t="s">
        <v>361</v>
      </c>
      <c r="D340" t="s">
        <v>227</v>
      </c>
      <c r="E340" t="s">
        <v>369</v>
      </c>
      <c r="F340" s="10">
        <v>0.27</v>
      </c>
      <c r="G340" s="11">
        <v>46227</v>
      </c>
      <c r="H340" t="s">
        <v>91</v>
      </c>
      <c r="I340" t="s">
        <v>84</v>
      </c>
    </row>
    <row r="341" spans="1:9" x14ac:dyDescent="0.25">
      <c r="A341" t="s">
        <v>756</v>
      </c>
      <c r="B341" t="s">
        <v>410</v>
      </c>
      <c r="C341" t="s">
        <v>357</v>
      </c>
      <c r="D341" t="s">
        <v>291</v>
      </c>
      <c r="E341" t="s">
        <v>369</v>
      </c>
      <c r="F341" s="10">
        <v>0.4</v>
      </c>
      <c r="G341" s="11">
        <v>45976</v>
      </c>
      <c r="H341" t="s">
        <v>91</v>
      </c>
      <c r="I341" t="s">
        <v>66</v>
      </c>
    </row>
    <row r="342" spans="1:9" x14ac:dyDescent="0.25">
      <c r="A342" t="s">
        <v>757</v>
      </c>
      <c r="B342" t="s">
        <v>518</v>
      </c>
      <c r="C342" t="s">
        <v>357</v>
      </c>
      <c r="D342" t="s">
        <v>180</v>
      </c>
      <c r="E342" t="s">
        <v>365</v>
      </c>
      <c r="F342" s="10">
        <v>0.61</v>
      </c>
      <c r="G342" s="11">
        <v>46200</v>
      </c>
      <c r="H342" t="s">
        <v>55</v>
      </c>
      <c r="I342" t="s">
        <v>56</v>
      </c>
    </row>
    <row r="343" spans="1:9" x14ac:dyDescent="0.25">
      <c r="A343" t="s">
        <v>758</v>
      </c>
      <c r="B343" t="s">
        <v>443</v>
      </c>
      <c r="C343" t="s">
        <v>357</v>
      </c>
      <c r="D343" t="s">
        <v>296</v>
      </c>
      <c r="E343" t="s">
        <v>419</v>
      </c>
      <c r="F343" s="10">
        <v>0.9</v>
      </c>
      <c r="G343" s="11">
        <v>45984</v>
      </c>
      <c r="H343" t="s">
        <v>73</v>
      </c>
      <c r="I343" t="s">
        <v>74</v>
      </c>
    </row>
    <row r="344" spans="1:9" x14ac:dyDescent="0.25">
      <c r="A344" t="s">
        <v>759</v>
      </c>
      <c r="B344" t="s">
        <v>437</v>
      </c>
      <c r="C344" t="s">
        <v>368</v>
      </c>
      <c r="D344" t="s">
        <v>124</v>
      </c>
      <c r="E344" t="s">
        <v>362</v>
      </c>
      <c r="F344" s="10">
        <v>0.79</v>
      </c>
      <c r="G344" s="11">
        <v>45937</v>
      </c>
      <c r="H344" t="s">
        <v>73</v>
      </c>
      <c r="I344" t="s">
        <v>61</v>
      </c>
    </row>
    <row r="345" spans="1:9" x14ac:dyDescent="0.25">
      <c r="A345" t="s">
        <v>760</v>
      </c>
      <c r="B345" t="s">
        <v>551</v>
      </c>
      <c r="C345" t="s">
        <v>368</v>
      </c>
      <c r="D345" t="s">
        <v>86</v>
      </c>
      <c r="E345" t="s">
        <v>373</v>
      </c>
      <c r="F345" s="10">
        <v>0.49</v>
      </c>
      <c r="G345" s="11">
        <v>46182</v>
      </c>
      <c r="H345" t="s">
        <v>159</v>
      </c>
      <c r="I345" t="s">
        <v>56</v>
      </c>
    </row>
    <row r="346" spans="1:9" x14ac:dyDescent="0.25">
      <c r="A346" t="s">
        <v>761</v>
      </c>
      <c r="B346" t="s">
        <v>405</v>
      </c>
      <c r="C346" t="s">
        <v>382</v>
      </c>
      <c r="D346" t="s">
        <v>231</v>
      </c>
      <c r="E346" t="s">
        <v>365</v>
      </c>
      <c r="F346" s="10">
        <v>0.55000000000000004</v>
      </c>
      <c r="G346" s="11">
        <v>46178</v>
      </c>
      <c r="H346" t="s">
        <v>91</v>
      </c>
      <c r="I346" t="s">
        <v>66</v>
      </c>
    </row>
    <row r="347" spans="1:9" x14ac:dyDescent="0.25">
      <c r="A347" t="s">
        <v>762</v>
      </c>
      <c r="B347" t="s">
        <v>473</v>
      </c>
      <c r="C347" t="s">
        <v>368</v>
      </c>
      <c r="D347" t="s">
        <v>153</v>
      </c>
      <c r="E347" t="s">
        <v>362</v>
      </c>
      <c r="F347" s="10">
        <v>0.62</v>
      </c>
      <c r="G347" s="11">
        <v>45990</v>
      </c>
      <c r="H347" t="s">
        <v>60</v>
      </c>
      <c r="I347" t="s">
        <v>61</v>
      </c>
    </row>
    <row r="348" spans="1:9" x14ac:dyDescent="0.25">
      <c r="A348" t="s">
        <v>763</v>
      </c>
      <c r="B348" t="s">
        <v>412</v>
      </c>
      <c r="C348" t="s">
        <v>357</v>
      </c>
      <c r="D348" t="s">
        <v>142</v>
      </c>
      <c r="E348" t="s">
        <v>373</v>
      </c>
      <c r="F348" s="10">
        <v>0.64</v>
      </c>
      <c r="G348" s="11">
        <v>46112</v>
      </c>
      <c r="H348" t="s">
        <v>98</v>
      </c>
      <c r="I348" t="s">
        <v>66</v>
      </c>
    </row>
    <row r="349" spans="1:9" x14ac:dyDescent="0.25">
      <c r="A349" t="s">
        <v>764</v>
      </c>
      <c r="B349" t="s">
        <v>572</v>
      </c>
      <c r="C349" t="s">
        <v>368</v>
      </c>
      <c r="D349" t="s">
        <v>137</v>
      </c>
      <c r="E349" t="s">
        <v>373</v>
      </c>
      <c r="F349" s="10">
        <v>0.51</v>
      </c>
      <c r="G349" s="11">
        <v>46191</v>
      </c>
      <c r="H349" t="s">
        <v>65</v>
      </c>
      <c r="I349" t="s">
        <v>61</v>
      </c>
    </row>
    <row r="350" spans="1:9" x14ac:dyDescent="0.25">
      <c r="A350" t="s">
        <v>765</v>
      </c>
      <c r="B350" t="s">
        <v>390</v>
      </c>
      <c r="C350" t="s">
        <v>357</v>
      </c>
      <c r="D350" t="s">
        <v>146</v>
      </c>
      <c r="E350" t="s">
        <v>369</v>
      </c>
      <c r="F350" s="10">
        <v>0.4</v>
      </c>
      <c r="G350" s="11">
        <v>45932</v>
      </c>
      <c r="H350" t="s">
        <v>60</v>
      </c>
      <c r="I350" t="s">
        <v>66</v>
      </c>
    </row>
    <row r="351" spans="1:9" x14ac:dyDescent="0.25">
      <c r="A351" t="s">
        <v>766</v>
      </c>
      <c r="B351" t="s">
        <v>360</v>
      </c>
      <c r="C351" t="s">
        <v>368</v>
      </c>
      <c r="D351" t="s">
        <v>86</v>
      </c>
      <c r="E351" t="s">
        <v>362</v>
      </c>
      <c r="F351" s="10">
        <v>0.41</v>
      </c>
      <c r="G351" s="11">
        <v>46020</v>
      </c>
      <c r="H351" t="s">
        <v>125</v>
      </c>
      <c r="I351" t="s">
        <v>66</v>
      </c>
    </row>
    <row r="352" spans="1:9" x14ac:dyDescent="0.25">
      <c r="A352" t="s">
        <v>767</v>
      </c>
      <c r="B352" t="s">
        <v>441</v>
      </c>
      <c r="C352" t="s">
        <v>357</v>
      </c>
      <c r="D352" t="s">
        <v>300</v>
      </c>
      <c r="E352" t="s">
        <v>358</v>
      </c>
      <c r="F352" s="10">
        <v>0.97</v>
      </c>
      <c r="G352" s="11">
        <v>46104</v>
      </c>
      <c r="H352" t="s">
        <v>65</v>
      </c>
      <c r="I352" t="s">
        <v>74</v>
      </c>
    </row>
    <row r="353" spans="1:9" x14ac:dyDescent="0.25">
      <c r="A353" t="s">
        <v>768</v>
      </c>
      <c r="B353" t="s">
        <v>377</v>
      </c>
      <c r="C353" t="s">
        <v>361</v>
      </c>
      <c r="D353" t="s">
        <v>169</v>
      </c>
      <c r="E353" t="s">
        <v>391</v>
      </c>
      <c r="F353" s="10">
        <v>0.78</v>
      </c>
      <c r="G353" s="11">
        <v>46081</v>
      </c>
      <c r="H353" t="s">
        <v>73</v>
      </c>
      <c r="I353" t="s">
        <v>84</v>
      </c>
    </row>
    <row r="354" spans="1:9" x14ac:dyDescent="0.25">
      <c r="A354" t="s">
        <v>769</v>
      </c>
      <c r="B354" t="s">
        <v>412</v>
      </c>
      <c r="C354" t="s">
        <v>382</v>
      </c>
      <c r="D354" t="s">
        <v>236</v>
      </c>
      <c r="E354" t="s">
        <v>365</v>
      </c>
      <c r="F354" s="10">
        <v>0.48</v>
      </c>
      <c r="G354" s="11">
        <v>45908</v>
      </c>
      <c r="H354" t="s">
        <v>73</v>
      </c>
      <c r="I354" t="s">
        <v>66</v>
      </c>
    </row>
    <row r="355" spans="1:9" x14ac:dyDescent="0.25">
      <c r="A355" t="s">
        <v>770</v>
      </c>
      <c r="B355" t="s">
        <v>470</v>
      </c>
      <c r="C355" t="s">
        <v>361</v>
      </c>
      <c r="D355" t="s">
        <v>217</v>
      </c>
      <c r="E355" t="s">
        <v>365</v>
      </c>
      <c r="F355" s="10">
        <v>0.63</v>
      </c>
      <c r="G355" s="11">
        <v>46155</v>
      </c>
      <c r="H355" t="s">
        <v>159</v>
      </c>
      <c r="I355" t="s">
        <v>56</v>
      </c>
    </row>
    <row r="356" spans="1:9" x14ac:dyDescent="0.25">
      <c r="A356" t="s">
        <v>771</v>
      </c>
      <c r="B356" t="s">
        <v>570</v>
      </c>
      <c r="C356" t="s">
        <v>382</v>
      </c>
      <c r="D356" t="s">
        <v>127</v>
      </c>
      <c r="E356" t="s">
        <v>362</v>
      </c>
      <c r="F356" s="10">
        <v>0.48</v>
      </c>
      <c r="G356" s="11">
        <v>45993</v>
      </c>
      <c r="H356" t="s">
        <v>55</v>
      </c>
      <c r="I356" t="s">
        <v>61</v>
      </c>
    </row>
    <row r="357" spans="1:9" x14ac:dyDescent="0.25">
      <c r="A357" t="s">
        <v>772</v>
      </c>
      <c r="B357" t="s">
        <v>437</v>
      </c>
      <c r="C357" t="s">
        <v>361</v>
      </c>
      <c r="D357" t="s">
        <v>228</v>
      </c>
      <c r="E357" t="s">
        <v>362</v>
      </c>
      <c r="F357" s="10">
        <v>0.81</v>
      </c>
      <c r="G357" s="11">
        <v>45933</v>
      </c>
      <c r="H357" t="s">
        <v>112</v>
      </c>
      <c r="I357" t="s">
        <v>66</v>
      </c>
    </row>
    <row r="358" spans="1:9" x14ac:dyDescent="0.25">
      <c r="A358" t="s">
        <v>773</v>
      </c>
      <c r="B358" t="s">
        <v>518</v>
      </c>
      <c r="C358" t="s">
        <v>382</v>
      </c>
      <c r="D358" t="s">
        <v>269</v>
      </c>
      <c r="E358" t="s">
        <v>365</v>
      </c>
      <c r="F358" s="10">
        <v>0.3</v>
      </c>
      <c r="G358" s="11">
        <v>46185</v>
      </c>
      <c r="H358" t="s">
        <v>98</v>
      </c>
      <c r="I358" t="s">
        <v>66</v>
      </c>
    </row>
    <row r="359" spans="1:9" x14ac:dyDescent="0.25">
      <c r="A359" t="s">
        <v>774</v>
      </c>
      <c r="B359" t="s">
        <v>511</v>
      </c>
      <c r="C359" t="s">
        <v>361</v>
      </c>
      <c r="D359" t="s">
        <v>242</v>
      </c>
      <c r="E359" t="s">
        <v>419</v>
      </c>
      <c r="F359" s="10">
        <v>0.77</v>
      </c>
      <c r="G359" s="11">
        <v>46109</v>
      </c>
      <c r="H359" t="s">
        <v>91</v>
      </c>
      <c r="I359" t="s">
        <v>56</v>
      </c>
    </row>
    <row r="360" spans="1:9" x14ac:dyDescent="0.25">
      <c r="A360" t="s">
        <v>775</v>
      </c>
      <c r="B360" t="s">
        <v>437</v>
      </c>
      <c r="C360" t="s">
        <v>382</v>
      </c>
      <c r="D360" t="s">
        <v>194</v>
      </c>
      <c r="E360" t="s">
        <v>391</v>
      </c>
      <c r="F360" s="10">
        <v>0.3</v>
      </c>
      <c r="G360" s="11">
        <v>46222</v>
      </c>
      <c r="H360" t="s">
        <v>125</v>
      </c>
      <c r="I360" t="s">
        <v>56</v>
      </c>
    </row>
    <row r="361" spans="1:9" x14ac:dyDescent="0.25">
      <c r="A361" t="s">
        <v>776</v>
      </c>
      <c r="B361" t="s">
        <v>390</v>
      </c>
      <c r="C361" t="s">
        <v>361</v>
      </c>
      <c r="D361" t="s">
        <v>58</v>
      </c>
      <c r="E361" t="s">
        <v>373</v>
      </c>
      <c r="F361" s="10">
        <v>0.95</v>
      </c>
      <c r="G361" s="11">
        <v>46192</v>
      </c>
      <c r="H361" t="s">
        <v>73</v>
      </c>
      <c r="I361" t="s">
        <v>66</v>
      </c>
    </row>
    <row r="362" spans="1:9" x14ac:dyDescent="0.25">
      <c r="A362" t="s">
        <v>777</v>
      </c>
      <c r="B362" t="s">
        <v>393</v>
      </c>
      <c r="C362" t="s">
        <v>382</v>
      </c>
      <c r="D362" t="s">
        <v>288</v>
      </c>
      <c r="E362" t="s">
        <v>391</v>
      </c>
      <c r="F362" s="10">
        <v>0.21</v>
      </c>
      <c r="G362" s="11">
        <v>46113</v>
      </c>
      <c r="H362" t="s">
        <v>55</v>
      </c>
      <c r="I362" t="s">
        <v>56</v>
      </c>
    </row>
    <row r="363" spans="1:9" x14ac:dyDescent="0.25">
      <c r="A363" t="s">
        <v>778</v>
      </c>
      <c r="B363" t="s">
        <v>465</v>
      </c>
      <c r="C363" t="s">
        <v>357</v>
      </c>
      <c r="D363" t="s">
        <v>236</v>
      </c>
      <c r="E363" t="s">
        <v>369</v>
      </c>
      <c r="F363" s="10">
        <v>0.37</v>
      </c>
      <c r="G363" s="11">
        <v>45962</v>
      </c>
      <c r="H363" t="s">
        <v>91</v>
      </c>
      <c r="I363" t="s">
        <v>74</v>
      </c>
    </row>
    <row r="364" spans="1:9" x14ac:dyDescent="0.25">
      <c r="A364" t="s">
        <v>779</v>
      </c>
      <c r="B364" t="s">
        <v>407</v>
      </c>
      <c r="C364" t="s">
        <v>361</v>
      </c>
      <c r="D364" t="s">
        <v>256</v>
      </c>
      <c r="E364" t="s">
        <v>362</v>
      </c>
      <c r="F364" s="10">
        <v>0.78</v>
      </c>
      <c r="G364" s="11">
        <v>46142</v>
      </c>
      <c r="H364" t="s">
        <v>98</v>
      </c>
      <c r="I364" t="s">
        <v>61</v>
      </c>
    </row>
    <row r="365" spans="1:9" x14ac:dyDescent="0.25">
      <c r="A365" t="s">
        <v>780</v>
      </c>
      <c r="B365" t="s">
        <v>384</v>
      </c>
      <c r="C365" t="s">
        <v>357</v>
      </c>
      <c r="D365" t="s">
        <v>341</v>
      </c>
      <c r="E365" t="s">
        <v>362</v>
      </c>
      <c r="F365" s="10">
        <v>0.7</v>
      </c>
      <c r="G365" s="11">
        <v>46207</v>
      </c>
      <c r="H365" t="s">
        <v>73</v>
      </c>
      <c r="I365" t="s">
        <v>56</v>
      </c>
    </row>
    <row r="366" spans="1:9" x14ac:dyDescent="0.25">
      <c r="A366" t="s">
        <v>781</v>
      </c>
      <c r="B366" t="s">
        <v>427</v>
      </c>
      <c r="C366" t="s">
        <v>382</v>
      </c>
      <c r="D366" t="s">
        <v>333</v>
      </c>
      <c r="E366" t="s">
        <v>419</v>
      </c>
      <c r="F366" s="10">
        <v>0.53</v>
      </c>
      <c r="G366" s="11">
        <v>46137</v>
      </c>
      <c r="H366" t="s">
        <v>112</v>
      </c>
      <c r="I366" t="s">
        <v>74</v>
      </c>
    </row>
    <row r="367" spans="1:9" x14ac:dyDescent="0.25">
      <c r="A367" t="s">
        <v>782</v>
      </c>
      <c r="B367" t="s">
        <v>496</v>
      </c>
      <c r="C367" t="s">
        <v>361</v>
      </c>
      <c r="D367" t="s">
        <v>236</v>
      </c>
      <c r="E367" t="s">
        <v>391</v>
      </c>
      <c r="F367" s="10">
        <v>0.56000000000000005</v>
      </c>
      <c r="G367" s="11">
        <v>46159</v>
      </c>
      <c r="H367" t="s">
        <v>78</v>
      </c>
      <c r="I367" t="s">
        <v>84</v>
      </c>
    </row>
    <row r="368" spans="1:9" x14ac:dyDescent="0.25">
      <c r="A368" t="s">
        <v>783</v>
      </c>
      <c r="B368" t="s">
        <v>441</v>
      </c>
      <c r="C368" t="s">
        <v>361</v>
      </c>
      <c r="D368" t="s">
        <v>81</v>
      </c>
      <c r="E368" t="s">
        <v>373</v>
      </c>
      <c r="F368" s="10">
        <v>0.61</v>
      </c>
      <c r="G368" s="11">
        <v>46198</v>
      </c>
      <c r="H368" t="s">
        <v>60</v>
      </c>
      <c r="I368" t="s">
        <v>84</v>
      </c>
    </row>
    <row r="369" spans="1:9" x14ac:dyDescent="0.25">
      <c r="A369" t="s">
        <v>784</v>
      </c>
      <c r="B369" t="s">
        <v>415</v>
      </c>
      <c r="C369" t="s">
        <v>382</v>
      </c>
      <c r="D369" t="s">
        <v>243</v>
      </c>
      <c r="E369" t="s">
        <v>391</v>
      </c>
      <c r="F369" s="10">
        <v>0.4</v>
      </c>
      <c r="G369" s="11">
        <v>46058</v>
      </c>
      <c r="H369" t="s">
        <v>159</v>
      </c>
      <c r="I369" t="s">
        <v>56</v>
      </c>
    </row>
    <row r="370" spans="1:9" x14ac:dyDescent="0.25">
      <c r="A370" t="s">
        <v>785</v>
      </c>
      <c r="B370" t="s">
        <v>511</v>
      </c>
      <c r="C370" t="s">
        <v>357</v>
      </c>
      <c r="D370" t="s">
        <v>209</v>
      </c>
      <c r="E370" t="s">
        <v>391</v>
      </c>
      <c r="F370" s="10">
        <v>0.77</v>
      </c>
      <c r="G370" s="11">
        <v>45971</v>
      </c>
      <c r="H370" t="s">
        <v>65</v>
      </c>
      <c r="I370" t="s">
        <v>61</v>
      </c>
    </row>
    <row r="371" spans="1:9" x14ac:dyDescent="0.25">
      <c r="A371" t="s">
        <v>786</v>
      </c>
      <c r="B371" t="s">
        <v>511</v>
      </c>
      <c r="C371" t="s">
        <v>368</v>
      </c>
      <c r="D371" t="s">
        <v>281</v>
      </c>
      <c r="E371" t="s">
        <v>362</v>
      </c>
      <c r="F371" s="10">
        <v>0.86</v>
      </c>
      <c r="G371" s="11">
        <v>46050</v>
      </c>
      <c r="H371" t="s">
        <v>91</v>
      </c>
      <c r="I371" t="s">
        <v>61</v>
      </c>
    </row>
    <row r="372" spans="1:9" x14ac:dyDescent="0.25">
      <c r="A372" t="s">
        <v>787</v>
      </c>
      <c r="B372" t="s">
        <v>465</v>
      </c>
      <c r="C372" t="s">
        <v>361</v>
      </c>
      <c r="D372" t="s">
        <v>306</v>
      </c>
      <c r="E372" t="s">
        <v>373</v>
      </c>
      <c r="F372" s="10">
        <v>0.94</v>
      </c>
      <c r="G372" s="11">
        <v>46105</v>
      </c>
      <c r="H372" t="s">
        <v>125</v>
      </c>
      <c r="I372" t="s">
        <v>74</v>
      </c>
    </row>
    <row r="373" spans="1:9" x14ac:dyDescent="0.25">
      <c r="A373" t="s">
        <v>788</v>
      </c>
      <c r="B373" t="s">
        <v>446</v>
      </c>
      <c r="C373" t="s">
        <v>368</v>
      </c>
      <c r="D373" t="s">
        <v>321</v>
      </c>
      <c r="E373" t="s">
        <v>358</v>
      </c>
      <c r="F373" s="10">
        <v>0.37</v>
      </c>
      <c r="G373" s="11">
        <v>46190</v>
      </c>
      <c r="H373" t="s">
        <v>60</v>
      </c>
      <c r="I373" t="s">
        <v>84</v>
      </c>
    </row>
    <row r="374" spans="1:9" x14ac:dyDescent="0.25">
      <c r="A374" t="s">
        <v>789</v>
      </c>
      <c r="B374" t="s">
        <v>364</v>
      </c>
      <c r="C374" t="s">
        <v>382</v>
      </c>
      <c r="D374" t="s">
        <v>181</v>
      </c>
      <c r="E374" t="s">
        <v>373</v>
      </c>
      <c r="F374" s="10">
        <v>0.46</v>
      </c>
      <c r="G374" s="11">
        <v>46061</v>
      </c>
      <c r="H374" t="s">
        <v>78</v>
      </c>
      <c r="I374" t="s">
        <v>84</v>
      </c>
    </row>
    <row r="375" spans="1:9" x14ac:dyDescent="0.25">
      <c r="A375" t="s">
        <v>790</v>
      </c>
      <c r="B375" t="s">
        <v>393</v>
      </c>
      <c r="C375" t="s">
        <v>357</v>
      </c>
      <c r="D375" t="s">
        <v>160</v>
      </c>
      <c r="E375" t="s">
        <v>369</v>
      </c>
      <c r="F375" s="10">
        <v>0.79</v>
      </c>
      <c r="G375" s="11">
        <v>46079</v>
      </c>
      <c r="H375" t="s">
        <v>65</v>
      </c>
      <c r="I375" t="s">
        <v>66</v>
      </c>
    </row>
    <row r="376" spans="1:9" x14ac:dyDescent="0.25">
      <c r="A376" t="s">
        <v>791</v>
      </c>
      <c r="B376" t="s">
        <v>375</v>
      </c>
      <c r="C376" t="s">
        <v>368</v>
      </c>
      <c r="D376" t="s">
        <v>115</v>
      </c>
      <c r="E376" t="s">
        <v>408</v>
      </c>
      <c r="F376" s="10">
        <v>0.48</v>
      </c>
      <c r="G376" s="11">
        <v>45941</v>
      </c>
      <c r="H376" t="s">
        <v>91</v>
      </c>
      <c r="I376" t="s">
        <v>84</v>
      </c>
    </row>
    <row r="377" spans="1:9" x14ac:dyDescent="0.25">
      <c r="A377" t="s">
        <v>792</v>
      </c>
      <c r="B377" t="s">
        <v>496</v>
      </c>
      <c r="C377" t="s">
        <v>382</v>
      </c>
      <c r="D377" t="s">
        <v>126</v>
      </c>
      <c r="E377" t="s">
        <v>362</v>
      </c>
      <c r="F377" s="10">
        <v>0.95</v>
      </c>
      <c r="G377" s="11">
        <v>45954</v>
      </c>
      <c r="H377" t="s">
        <v>73</v>
      </c>
      <c r="I377" t="s">
        <v>61</v>
      </c>
    </row>
    <row r="378" spans="1:9" x14ac:dyDescent="0.25">
      <c r="A378" t="s">
        <v>793</v>
      </c>
      <c r="B378" t="s">
        <v>470</v>
      </c>
      <c r="C378" t="s">
        <v>382</v>
      </c>
      <c r="D378" t="s">
        <v>294</v>
      </c>
      <c r="E378" t="s">
        <v>391</v>
      </c>
      <c r="F378" s="10">
        <v>0.73</v>
      </c>
      <c r="G378" s="11">
        <v>46121</v>
      </c>
      <c r="H378" t="s">
        <v>78</v>
      </c>
      <c r="I378" t="s">
        <v>74</v>
      </c>
    </row>
    <row r="379" spans="1:9" x14ac:dyDescent="0.25">
      <c r="A379" t="s">
        <v>794</v>
      </c>
      <c r="B379" t="s">
        <v>399</v>
      </c>
      <c r="C379" t="s">
        <v>361</v>
      </c>
      <c r="D379" t="s">
        <v>165</v>
      </c>
      <c r="E379" t="s">
        <v>373</v>
      </c>
      <c r="F379" s="10">
        <v>0.68</v>
      </c>
      <c r="G379" s="11">
        <v>45962</v>
      </c>
      <c r="H379" t="s">
        <v>125</v>
      </c>
      <c r="I379" t="s">
        <v>74</v>
      </c>
    </row>
    <row r="380" spans="1:9" x14ac:dyDescent="0.25">
      <c r="A380" t="s">
        <v>795</v>
      </c>
      <c r="B380" t="s">
        <v>568</v>
      </c>
      <c r="C380" t="s">
        <v>368</v>
      </c>
      <c r="D380" t="s">
        <v>92</v>
      </c>
      <c r="E380" t="s">
        <v>408</v>
      </c>
      <c r="F380" s="10">
        <v>0.36</v>
      </c>
      <c r="G380" s="11">
        <v>46154</v>
      </c>
      <c r="H380" t="s">
        <v>55</v>
      </c>
      <c r="I380" t="s">
        <v>66</v>
      </c>
    </row>
    <row r="381" spans="1:9" x14ac:dyDescent="0.25">
      <c r="A381" t="s">
        <v>796</v>
      </c>
      <c r="B381" t="s">
        <v>487</v>
      </c>
      <c r="C381" t="s">
        <v>382</v>
      </c>
      <c r="D381" t="s">
        <v>221</v>
      </c>
      <c r="E381" t="s">
        <v>369</v>
      </c>
      <c r="F381" s="10">
        <v>0.84</v>
      </c>
      <c r="G381" s="11">
        <v>46158</v>
      </c>
      <c r="H381" t="s">
        <v>91</v>
      </c>
      <c r="I381" t="s">
        <v>74</v>
      </c>
    </row>
    <row r="382" spans="1:9" x14ac:dyDescent="0.25">
      <c r="A382" t="s">
        <v>797</v>
      </c>
      <c r="B382" t="s">
        <v>430</v>
      </c>
      <c r="C382" t="s">
        <v>368</v>
      </c>
      <c r="D382" t="s">
        <v>341</v>
      </c>
      <c r="E382" t="s">
        <v>419</v>
      </c>
      <c r="F382" s="10">
        <v>0.3</v>
      </c>
      <c r="G382" s="11">
        <v>46231</v>
      </c>
      <c r="H382" t="s">
        <v>60</v>
      </c>
      <c r="I382" t="s">
        <v>84</v>
      </c>
    </row>
    <row r="383" spans="1:9" x14ac:dyDescent="0.25">
      <c r="A383" t="s">
        <v>798</v>
      </c>
      <c r="B383" t="s">
        <v>568</v>
      </c>
      <c r="C383" t="s">
        <v>361</v>
      </c>
      <c r="D383" t="s">
        <v>326</v>
      </c>
      <c r="E383" t="s">
        <v>419</v>
      </c>
      <c r="F383" s="10">
        <v>0.86</v>
      </c>
      <c r="G383" s="11">
        <v>46143</v>
      </c>
      <c r="H383" t="s">
        <v>125</v>
      </c>
      <c r="I383" t="s">
        <v>61</v>
      </c>
    </row>
    <row r="384" spans="1:9" x14ac:dyDescent="0.25">
      <c r="A384" t="s">
        <v>799</v>
      </c>
      <c r="B384" t="s">
        <v>395</v>
      </c>
      <c r="C384" t="s">
        <v>357</v>
      </c>
      <c r="D384" t="s">
        <v>304</v>
      </c>
      <c r="E384" t="s">
        <v>362</v>
      </c>
      <c r="F384" s="10">
        <v>0.91</v>
      </c>
      <c r="G384" s="11">
        <v>46091</v>
      </c>
      <c r="H384" t="s">
        <v>112</v>
      </c>
      <c r="I384" t="s">
        <v>84</v>
      </c>
    </row>
    <row r="385" spans="1:9" x14ac:dyDescent="0.25">
      <c r="A385" t="s">
        <v>800</v>
      </c>
      <c r="B385" t="s">
        <v>407</v>
      </c>
      <c r="C385" t="s">
        <v>382</v>
      </c>
      <c r="D385" t="s">
        <v>52</v>
      </c>
      <c r="E385" t="s">
        <v>369</v>
      </c>
      <c r="F385" s="10">
        <v>0.38</v>
      </c>
      <c r="G385" s="11">
        <v>46153</v>
      </c>
      <c r="H385" t="s">
        <v>78</v>
      </c>
      <c r="I385" t="s">
        <v>61</v>
      </c>
    </row>
    <row r="386" spans="1:9" x14ac:dyDescent="0.25">
      <c r="A386" t="s">
        <v>801</v>
      </c>
      <c r="B386" t="s">
        <v>377</v>
      </c>
      <c r="C386" t="s">
        <v>357</v>
      </c>
      <c r="D386" t="s">
        <v>103</v>
      </c>
      <c r="E386" t="s">
        <v>362</v>
      </c>
      <c r="F386" s="10">
        <v>0.31</v>
      </c>
      <c r="G386" s="11">
        <v>46107</v>
      </c>
      <c r="H386" t="s">
        <v>112</v>
      </c>
      <c r="I386" t="s">
        <v>66</v>
      </c>
    </row>
    <row r="387" spans="1:9" x14ac:dyDescent="0.25">
      <c r="A387" t="s">
        <v>802</v>
      </c>
      <c r="B387" t="s">
        <v>511</v>
      </c>
      <c r="C387" t="s">
        <v>368</v>
      </c>
      <c r="D387" t="s">
        <v>203</v>
      </c>
      <c r="E387" t="s">
        <v>369</v>
      </c>
      <c r="F387" s="10">
        <v>0.85</v>
      </c>
      <c r="G387" s="11">
        <v>45972</v>
      </c>
      <c r="H387" t="s">
        <v>55</v>
      </c>
      <c r="I387" t="s">
        <v>84</v>
      </c>
    </row>
    <row r="388" spans="1:9" x14ac:dyDescent="0.25">
      <c r="A388" t="s">
        <v>803</v>
      </c>
      <c r="B388" t="s">
        <v>372</v>
      </c>
      <c r="C388" t="s">
        <v>382</v>
      </c>
      <c r="D388" t="s">
        <v>242</v>
      </c>
      <c r="E388" t="s">
        <v>362</v>
      </c>
      <c r="F388" s="10">
        <v>0.85</v>
      </c>
      <c r="G388" s="11">
        <v>46198</v>
      </c>
      <c r="H388" t="s">
        <v>91</v>
      </c>
      <c r="I388" t="s">
        <v>84</v>
      </c>
    </row>
    <row r="389" spans="1:9" x14ac:dyDescent="0.25">
      <c r="A389" t="s">
        <v>804</v>
      </c>
      <c r="B389" t="s">
        <v>572</v>
      </c>
      <c r="C389" t="s">
        <v>357</v>
      </c>
      <c r="D389" t="s">
        <v>333</v>
      </c>
      <c r="E389" t="s">
        <v>369</v>
      </c>
      <c r="F389" s="10">
        <v>0.7</v>
      </c>
      <c r="G389" s="11">
        <v>46019</v>
      </c>
      <c r="H389" t="s">
        <v>159</v>
      </c>
      <c r="I389" t="s">
        <v>61</v>
      </c>
    </row>
    <row r="390" spans="1:9" x14ac:dyDescent="0.25">
      <c r="A390" t="s">
        <v>805</v>
      </c>
      <c r="B390" t="s">
        <v>412</v>
      </c>
      <c r="C390" t="s">
        <v>357</v>
      </c>
      <c r="D390" t="s">
        <v>160</v>
      </c>
      <c r="E390" t="s">
        <v>362</v>
      </c>
      <c r="F390" s="10">
        <v>0.26</v>
      </c>
      <c r="G390" s="11">
        <v>46192</v>
      </c>
      <c r="H390" t="s">
        <v>125</v>
      </c>
      <c r="I390" t="s">
        <v>61</v>
      </c>
    </row>
    <row r="391" spans="1:9" x14ac:dyDescent="0.25">
      <c r="A391" t="s">
        <v>806</v>
      </c>
      <c r="B391" t="s">
        <v>379</v>
      </c>
      <c r="C391" t="s">
        <v>361</v>
      </c>
      <c r="D391" t="s">
        <v>306</v>
      </c>
      <c r="E391" t="s">
        <v>362</v>
      </c>
      <c r="F391" s="10">
        <v>0.97</v>
      </c>
      <c r="G391" s="11">
        <v>45894</v>
      </c>
      <c r="H391" t="s">
        <v>65</v>
      </c>
      <c r="I391" t="s">
        <v>74</v>
      </c>
    </row>
    <row r="392" spans="1:9" x14ac:dyDescent="0.25">
      <c r="A392" t="s">
        <v>807</v>
      </c>
      <c r="B392" t="s">
        <v>375</v>
      </c>
      <c r="C392" t="s">
        <v>357</v>
      </c>
      <c r="D392" t="s">
        <v>207</v>
      </c>
      <c r="E392" t="s">
        <v>362</v>
      </c>
      <c r="F392" s="10">
        <v>0.5</v>
      </c>
      <c r="G392" s="11">
        <v>46190</v>
      </c>
      <c r="H392" t="s">
        <v>55</v>
      </c>
      <c r="I392" t="s">
        <v>61</v>
      </c>
    </row>
    <row r="393" spans="1:9" x14ac:dyDescent="0.25">
      <c r="A393" t="s">
        <v>808</v>
      </c>
      <c r="B393" t="s">
        <v>451</v>
      </c>
      <c r="C393" t="s">
        <v>382</v>
      </c>
      <c r="D393" t="s">
        <v>211</v>
      </c>
      <c r="E393" t="s">
        <v>362</v>
      </c>
      <c r="F393" s="10">
        <v>0.5</v>
      </c>
      <c r="G393" s="11">
        <v>46200</v>
      </c>
      <c r="H393" t="s">
        <v>73</v>
      </c>
      <c r="I393" t="s">
        <v>84</v>
      </c>
    </row>
    <row r="394" spans="1:9" x14ac:dyDescent="0.25">
      <c r="A394" t="s">
        <v>809</v>
      </c>
      <c r="B394" t="s">
        <v>395</v>
      </c>
      <c r="C394" t="s">
        <v>361</v>
      </c>
      <c r="D394" t="s">
        <v>251</v>
      </c>
      <c r="E394" t="s">
        <v>365</v>
      </c>
      <c r="F394" s="10">
        <v>0.5</v>
      </c>
      <c r="G394" s="11">
        <v>46202</v>
      </c>
      <c r="H394" t="s">
        <v>91</v>
      </c>
      <c r="I394" t="s">
        <v>61</v>
      </c>
    </row>
    <row r="395" spans="1:9" x14ac:dyDescent="0.25">
      <c r="A395" t="s">
        <v>810</v>
      </c>
      <c r="B395" t="s">
        <v>511</v>
      </c>
      <c r="C395" t="s">
        <v>368</v>
      </c>
      <c r="D395" t="s">
        <v>201</v>
      </c>
      <c r="E395" t="s">
        <v>365</v>
      </c>
      <c r="F395" s="10">
        <v>0.75</v>
      </c>
      <c r="G395" s="11">
        <v>45989</v>
      </c>
      <c r="H395" t="s">
        <v>65</v>
      </c>
      <c r="I395" t="s">
        <v>84</v>
      </c>
    </row>
    <row r="396" spans="1:9" x14ac:dyDescent="0.25">
      <c r="A396" t="s">
        <v>811</v>
      </c>
      <c r="B396" t="s">
        <v>423</v>
      </c>
      <c r="C396" t="s">
        <v>382</v>
      </c>
      <c r="D396" t="s">
        <v>240</v>
      </c>
      <c r="E396" t="s">
        <v>369</v>
      </c>
      <c r="F396" s="10">
        <v>1</v>
      </c>
      <c r="G396" s="11">
        <v>46146</v>
      </c>
      <c r="H396" t="s">
        <v>125</v>
      </c>
      <c r="I396" t="s">
        <v>84</v>
      </c>
    </row>
    <row r="397" spans="1:9" x14ac:dyDescent="0.25">
      <c r="A397" t="s">
        <v>812</v>
      </c>
      <c r="B397" t="s">
        <v>377</v>
      </c>
      <c r="C397" t="s">
        <v>368</v>
      </c>
      <c r="D397" t="s">
        <v>253</v>
      </c>
      <c r="E397" t="s">
        <v>391</v>
      </c>
      <c r="F397" s="10">
        <v>0.94</v>
      </c>
      <c r="G397" s="11">
        <v>46046</v>
      </c>
      <c r="H397" t="s">
        <v>78</v>
      </c>
      <c r="I397" t="s">
        <v>56</v>
      </c>
    </row>
    <row r="398" spans="1:9" x14ac:dyDescent="0.25">
      <c r="A398" t="s">
        <v>813</v>
      </c>
      <c r="B398" t="s">
        <v>443</v>
      </c>
      <c r="C398" t="s">
        <v>382</v>
      </c>
      <c r="D398" t="s">
        <v>181</v>
      </c>
      <c r="E398" t="s">
        <v>408</v>
      </c>
      <c r="F398" s="10">
        <v>0.54</v>
      </c>
      <c r="G398" s="11">
        <v>46216</v>
      </c>
      <c r="H398" t="s">
        <v>55</v>
      </c>
      <c r="I398" t="s">
        <v>74</v>
      </c>
    </row>
    <row r="399" spans="1:9" x14ac:dyDescent="0.25">
      <c r="A399" t="s">
        <v>814</v>
      </c>
      <c r="B399" t="s">
        <v>518</v>
      </c>
      <c r="C399" t="s">
        <v>357</v>
      </c>
      <c r="D399" t="s">
        <v>153</v>
      </c>
      <c r="E399" t="s">
        <v>365</v>
      </c>
      <c r="F399" s="10">
        <v>0.51</v>
      </c>
      <c r="G399" s="11">
        <v>45971</v>
      </c>
      <c r="H399" t="s">
        <v>112</v>
      </c>
      <c r="I399" t="s">
        <v>66</v>
      </c>
    </row>
    <row r="400" spans="1:9" x14ac:dyDescent="0.25">
      <c r="A400" t="s">
        <v>815</v>
      </c>
      <c r="B400" t="s">
        <v>395</v>
      </c>
      <c r="C400" t="s">
        <v>361</v>
      </c>
      <c r="D400" t="s">
        <v>121</v>
      </c>
      <c r="E400" t="s">
        <v>373</v>
      </c>
      <c r="F400" s="10">
        <v>0.26</v>
      </c>
      <c r="G400" s="11">
        <v>46147</v>
      </c>
      <c r="H400" t="s">
        <v>55</v>
      </c>
      <c r="I400" t="s">
        <v>84</v>
      </c>
    </row>
    <row r="401" spans="1:9" x14ac:dyDescent="0.25">
      <c r="A401" t="s">
        <v>816</v>
      </c>
      <c r="B401" t="s">
        <v>360</v>
      </c>
      <c r="C401" t="s">
        <v>361</v>
      </c>
      <c r="D401" t="s">
        <v>261</v>
      </c>
      <c r="E401" t="s">
        <v>369</v>
      </c>
      <c r="F401" s="10">
        <v>0.72</v>
      </c>
      <c r="G401" s="11">
        <v>46002</v>
      </c>
      <c r="H401" t="s">
        <v>55</v>
      </c>
      <c r="I401" t="s">
        <v>74</v>
      </c>
    </row>
    <row r="402" spans="1:9" x14ac:dyDescent="0.25">
      <c r="A402" t="s">
        <v>817</v>
      </c>
      <c r="B402" t="s">
        <v>381</v>
      </c>
      <c r="C402" t="s">
        <v>382</v>
      </c>
      <c r="D402" t="s">
        <v>239</v>
      </c>
      <c r="E402" t="s">
        <v>358</v>
      </c>
      <c r="F402" s="10">
        <v>0.71</v>
      </c>
      <c r="G402" s="11">
        <v>45950</v>
      </c>
      <c r="H402" t="s">
        <v>112</v>
      </c>
      <c r="I402" t="s">
        <v>56</v>
      </c>
    </row>
    <row r="403" spans="1:9" x14ac:dyDescent="0.25">
      <c r="A403" t="s">
        <v>818</v>
      </c>
      <c r="B403" t="s">
        <v>473</v>
      </c>
      <c r="C403" t="s">
        <v>368</v>
      </c>
      <c r="D403" t="s">
        <v>225</v>
      </c>
      <c r="E403" t="s">
        <v>365</v>
      </c>
      <c r="F403" s="10">
        <v>0.59</v>
      </c>
      <c r="G403" s="11">
        <v>45921</v>
      </c>
      <c r="H403" t="s">
        <v>98</v>
      </c>
      <c r="I403" t="s">
        <v>61</v>
      </c>
    </row>
    <row r="404" spans="1:9" x14ac:dyDescent="0.25">
      <c r="A404" t="s">
        <v>819</v>
      </c>
      <c r="B404" t="s">
        <v>470</v>
      </c>
      <c r="C404" t="s">
        <v>361</v>
      </c>
      <c r="D404" t="s">
        <v>181</v>
      </c>
      <c r="E404" t="s">
        <v>369</v>
      </c>
      <c r="F404" s="10">
        <v>0.21</v>
      </c>
      <c r="G404" s="11">
        <v>45908</v>
      </c>
      <c r="H404" t="s">
        <v>73</v>
      </c>
      <c r="I404" t="s">
        <v>56</v>
      </c>
    </row>
    <row r="405" spans="1:9" x14ac:dyDescent="0.25">
      <c r="A405" t="s">
        <v>820</v>
      </c>
      <c r="B405" t="s">
        <v>487</v>
      </c>
      <c r="C405" t="s">
        <v>368</v>
      </c>
      <c r="D405" t="s">
        <v>270</v>
      </c>
      <c r="E405" t="s">
        <v>419</v>
      </c>
      <c r="F405" s="10">
        <v>0.97</v>
      </c>
      <c r="G405" s="11">
        <v>46148</v>
      </c>
      <c r="H405" t="s">
        <v>73</v>
      </c>
      <c r="I405" t="s">
        <v>84</v>
      </c>
    </row>
    <row r="406" spans="1:9" x14ac:dyDescent="0.25">
      <c r="A406" t="s">
        <v>821</v>
      </c>
      <c r="B406" t="s">
        <v>377</v>
      </c>
      <c r="C406" t="s">
        <v>368</v>
      </c>
      <c r="D406" t="s">
        <v>217</v>
      </c>
      <c r="E406" t="s">
        <v>369</v>
      </c>
      <c r="F406" s="10">
        <v>0.53</v>
      </c>
      <c r="G406" s="11">
        <v>46213</v>
      </c>
      <c r="H406" t="s">
        <v>98</v>
      </c>
      <c r="I406" t="s">
        <v>84</v>
      </c>
    </row>
    <row r="407" spans="1:9" x14ac:dyDescent="0.25">
      <c r="A407" t="s">
        <v>822</v>
      </c>
      <c r="B407" t="s">
        <v>484</v>
      </c>
      <c r="C407" t="s">
        <v>382</v>
      </c>
      <c r="D407" t="s">
        <v>188</v>
      </c>
      <c r="E407" t="s">
        <v>391</v>
      </c>
      <c r="F407" s="10">
        <v>0.49</v>
      </c>
      <c r="G407" s="11">
        <v>45918</v>
      </c>
      <c r="H407" t="s">
        <v>98</v>
      </c>
      <c r="I407" t="s">
        <v>61</v>
      </c>
    </row>
    <row r="408" spans="1:9" x14ac:dyDescent="0.25">
      <c r="A408" t="s">
        <v>823</v>
      </c>
      <c r="B408" t="s">
        <v>437</v>
      </c>
      <c r="C408" t="s">
        <v>382</v>
      </c>
      <c r="D408" t="s">
        <v>162</v>
      </c>
      <c r="E408" t="s">
        <v>419</v>
      </c>
      <c r="F408" s="10">
        <v>0.38</v>
      </c>
      <c r="G408" s="11">
        <v>45872</v>
      </c>
      <c r="H408" t="s">
        <v>98</v>
      </c>
      <c r="I408" t="s">
        <v>56</v>
      </c>
    </row>
    <row r="409" spans="1:9" x14ac:dyDescent="0.25">
      <c r="A409" t="s">
        <v>824</v>
      </c>
      <c r="B409" t="s">
        <v>518</v>
      </c>
      <c r="C409" t="s">
        <v>368</v>
      </c>
      <c r="D409" t="s">
        <v>316</v>
      </c>
      <c r="E409" t="s">
        <v>373</v>
      </c>
      <c r="F409" s="10">
        <v>0.41</v>
      </c>
      <c r="G409" s="11">
        <v>46199</v>
      </c>
      <c r="H409" t="s">
        <v>73</v>
      </c>
      <c r="I409" t="s">
        <v>84</v>
      </c>
    </row>
    <row r="410" spans="1:9" x14ac:dyDescent="0.25">
      <c r="A410" t="s">
        <v>825</v>
      </c>
      <c r="B410" t="s">
        <v>484</v>
      </c>
      <c r="C410" t="s">
        <v>368</v>
      </c>
      <c r="D410" t="s">
        <v>143</v>
      </c>
      <c r="E410" t="s">
        <v>391</v>
      </c>
      <c r="F410" s="10">
        <v>0.32</v>
      </c>
      <c r="G410" s="11">
        <v>45990</v>
      </c>
      <c r="H410" t="s">
        <v>125</v>
      </c>
      <c r="I410" t="s">
        <v>84</v>
      </c>
    </row>
    <row r="411" spans="1:9" x14ac:dyDescent="0.25">
      <c r="A411" t="s">
        <v>826</v>
      </c>
      <c r="B411" t="s">
        <v>487</v>
      </c>
      <c r="C411" t="s">
        <v>382</v>
      </c>
      <c r="D411" t="s">
        <v>328</v>
      </c>
      <c r="E411" t="s">
        <v>408</v>
      </c>
      <c r="F411" s="10">
        <v>0.56000000000000005</v>
      </c>
      <c r="G411" s="11">
        <v>46042</v>
      </c>
      <c r="H411" t="s">
        <v>65</v>
      </c>
      <c r="I411" t="s">
        <v>56</v>
      </c>
    </row>
    <row r="412" spans="1:9" x14ac:dyDescent="0.25">
      <c r="A412" t="s">
        <v>827</v>
      </c>
      <c r="B412" t="s">
        <v>437</v>
      </c>
      <c r="C412" t="s">
        <v>382</v>
      </c>
      <c r="D412" t="s">
        <v>99</v>
      </c>
      <c r="E412" t="s">
        <v>369</v>
      </c>
      <c r="F412" s="10">
        <v>0.28999999999999998</v>
      </c>
      <c r="G412" s="11">
        <v>46121</v>
      </c>
      <c r="H412" t="s">
        <v>91</v>
      </c>
      <c r="I412" t="s">
        <v>84</v>
      </c>
    </row>
    <row r="413" spans="1:9" x14ac:dyDescent="0.25">
      <c r="A413" t="s">
        <v>828</v>
      </c>
      <c r="B413" t="s">
        <v>360</v>
      </c>
      <c r="C413" t="s">
        <v>361</v>
      </c>
      <c r="D413" t="s">
        <v>203</v>
      </c>
      <c r="E413" t="s">
        <v>369</v>
      </c>
      <c r="F413" s="10">
        <v>0.99</v>
      </c>
      <c r="G413" s="11">
        <v>45869</v>
      </c>
      <c r="H413" t="s">
        <v>112</v>
      </c>
      <c r="I413" t="s">
        <v>74</v>
      </c>
    </row>
    <row r="414" spans="1:9" x14ac:dyDescent="0.25">
      <c r="A414" t="s">
        <v>829</v>
      </c>
      <c r="B414" t="s">
        <v>437</v>
      </c>
      <c r="C414" t="s">
        <v>357</v>
      </c>
      <c r="D414" t="s">
        <v>326</v>
      </c>
      <c r="E414" t="s">
        <v>373</v>
      </c>
      <c r="F414" s="10">
        <v>0.42</v>
      </c>
      <c r="G414" s="11">
        <v>46091</v>
      </c>
      <c r="H414" t="s">
        <v>91</v>
      </c>
      <c r="I414" t="s">
        <v>61</v>
      </c>
    </row>
    <row r="415" spans="1:9" x14ac:dyDescent="0.25">
      <c r="A415" t="s">
        <v>830</v>
      </c>
      <c r="B415" t="s">
        <v>470</v>
      </c>
      <c r="C415" t="s">
        <v>382</v>
      </c>
      <c r="D415" t="s">
        <v>210</v>
      </c>
      <c r="E415" t="s">
        <v>408</v>
      </c>
      <c r="F415" s="10">
        <v>0.31</v>
      </c>
      <c r="G415" s="11">
        <v>46009</v>
      </c>
      <c r="H415" t="s">
        <v>73</v>
      </c>
      <c r="I415" t="s">
        <v>66</v>
      </c>
    </row>
    <row r="416" spans="1:9" x14ac:dyDescent="0.25">
      <c r="A416" t="s">
        <v>831</v>
      </c>
      <c r="B416" t="s">
        <v>441</v>
      </c>
      <c r="C416" t="s">
        <v>357</v>
      </c>
      <c r="D416" t="s">
        <v>339</v>
      </c>
      <c r="E416" t="s">
        <v>373</v>
      </c>
      <c r="F416" s="10">
        <v>0.26</v>
      </c>
      <c r="G416" s="11">
        <v>46003</v>
      </c>
      <c r="H416" t="s">
        <v>73</v>
      </c>
      <c r="I416" t="s">
        <v>84</v>
      </c>
    </row>
    <row r="417" spans="1:9" x14ac:dyDescent="0.25">
      <c r="A417" t="s">
        <v>832</v>
      </c>
      <c r="B417" t="s">
        <v>551</v>
      </c>
      <c r="C417" t="s">
        <v>368</v>
      </c>
      <c r="D417" t="s">
        <v>206</v>
      </c>
      <c r="E417" t="s">
        <v>391</v>
      </c>
      <c r="F417" s="10">
        <v>0.6</v>
      </c>
      <c r="G417" s="11">
        <v>45969</v>
      </c>
      <c r="H417" t="s">
        <v>112</v>
      </c>
      <c r="I417" t="s">
        <v>56</v>
      </c>
    </row>
    <row r="418" spans="1:9" x14ac:dyDescent="0.25">
      <c r="A418" t="s">
        <v>833</v>
      </c>
      <c r="B418" t="s">
        <v>432</v>
      </c>
      <c r="C418" t="s">
        <v>361</v>
      </c>
      <c r="D418" t="s">
        <v>296</v>
      </c>
      <c r="E418" t="s">
        <v>419</v>
      </c>
      <c r="F418" s="10">
        <v>0.35</v>
      </c>
      <c r="G418" s="11">
        <v>46231</v>
      </c>
      <c r="H418" t="s">
        <v>78</v>
      </c>
      <c r="I418" t="s">
        <v>61</v>
      </c>
    </row>
    <row r="419" spans="1:9" x14ac:dyDescent="0.25">
      <c r="A419" t="s">
        <v>834</v>
      </c>
      <c r="B419" t="s">
        <v>410</v>
      </c>
      <c r="C419" t="s">
        <v>361</v>
      </c>
      <c r="D419" t="s">
        <v>339</v>
      </c>
      <c r="E419" t="s">
        <v>408</v>
      </c>
      <c r="F419" s="10">
        <v>0.88</v>
      </c>
      <c r="G419" s="11">
        <v>45897</v>
      </c>
      <c r="H419" t="s">
        <v>65</v>
      </c>
      <c r="I419" t="s">
        <v>74</v>
      </c>
    </row>
    <row r="420" spans="1:9" x14ac:dyDescent="0.25">
      <c r="A420" t="s">
        <v>835</v>
      </c>
      <c r="B420" t="s">
        <v>572</v>
      </c>
      <c r="C420" t="s">
        <v>382</v>
      </c>
      <c r="D420" t="s">
        <v>110</v>
      </c>
      <c r="E420" t="s">
        <v>373</v>
      </c>
      <c r="F420" s="10">
        <v>0.63</v>
      </c>
      <c r="G420" s="11">
        <v>45964</v>
      </c>
      <c r="H420" t="s">
        <v>112</v>
      </c>
      <c r="I420" t="s">
        <v>56</v>
      </c>
    </row>
    <row r="421" spans="1:9" x14ac:dyDescent="0.25">
      <c r="A421" t="s">
        <v>836</v>
      </c>
      <c r="B421" t="s">
        <v>446</v>
      </c>
      <c r="C421" t="s">
        <v>361</v>
      </c>
      <c r="D421" t="s">
        <v>81</v>
      </c>
      <c r="E421" t="s">
        <v>358</v>
      </c>
      <c r="F421" s="10">
        <v>0.39</v>
      </c>
      <c r="G421" s="11">
        <v>46213</v>
      </c>
      <c r="H421" t="s">
        <v>98</v>
      </c>
      <c r="I421" t="s">
        <v>66</v>
      </c>
    </row>
    <row r="422" spans="1:9" x14ac:dyDescent="0.25">
      <c r="A422" t="s">
        <v>837</v>
      </c>
      <c r="B422" t="s">
        <v>381</v>
      </c>
      <c r="C422" t="s">
        <v>361</v>
      </c>
      <c r="D422" t="s">
        <v>333</v>
      </c>
      <c r="E422" t="s">
        <v>362</v>
      </c>
      <c r="F422" s="10">
        <v>0.44</v>
      </c>
      <c r="G422" s="11">
        <v>46124</v>
      </c>
      <c r="H422" t="s">
        <v>73</v>
      </c>
      <c r="I422" t="s">
        <v>56</v>
      </c>
    </row>
    <row r="423" spans="1:9" x14ac:dyDescent="0.25">
      <c r="A423" t="s">
        <v>838</v>
      </c>
      <c r="B423" t="s">
        <v>572</v>
      </c>
      <c r="C423" t="s">
        <v>368</v>
      </c>
      <c r="D423" t="s">
        <v>287</v>
      </c>
      <c r="E423" t="s">
        <v>362</v>
      </c>
      <c r="F423" s="10">
        <v>0.98</v>
      </c>
      <c r="G423" s="11">
        <v>46152</v>
      </c>
      <c r="H423" t="s">
        <v>159</v>
      </c>
      <c r="I423" t="s">
        <v>66</v>
      </c>
    </row>
    <row r="424" spans="1:9" x14ac:dyDescent="0.25">
      <c r="A424" t="s">
        <v>839</v>
      </c>
      <c r="B424" t="s">
        <v>377</v>
      </c>
      <c r="C424" t="s">
        <v>357</v>
      </c>
      <c r="D424" t="s">
        <v>255</v>
      </c>
      <c r="E424" t="s">
        <v>373</v>
      </c>
      <c r="F424" s="10">
        <v>0.92</v>
      </c>
      <c r="G424" s="11">
        <v>46083</v>
      </c>
      <c r="H424" t="s">
        <v>73</v>
      </c>
      <c r="I424" t="s">
        <v>74</v>
      </c>
    </row>
    <row r="425" spans="1:9" x14ac:dyDescent="0.25">
      <c r="A425" t="s">
        <v>840</v>
      </c>
      <c r="B425" t="s">
        <v>448</v>
      </c>
      <c r="C425" t="s">
        <v>382</v>
      </c>
      <c r="D425" t="s">
        <v>224</v>
      </c>
      <c r="E425" t="s">
        <v>373</v>
      </c>
      <c r="F425" s="10">
        <v>0.68</v>
      </c>
      <c r="G425" s="11">
        <v>45951</v>
      </c>
      <c r="H425" t="s">
        <v>73</v>
      </c>
      <c r="I425" t="s">
        <v>84</v>
      </c>
    </row>
    <row r="426" spans="1:9" x14ac:dyDescent="0.25">
      <c r="A426" t="s">
        <v>841</v>
      </c>
      <c r="B426" t="s">
        <v>397</v>
      </c>
      <c r="C426" t="s">
        <v>382</v>
      </c>
      <c r="D426" t="s">
        <v>246</v>
      </c>
      <c r="E426" t="s">
        <v>358</v>
      </c>
      <c r="F426" s="10">
        <v>1</v>
      </c>
      <c r="G426" s="11">
        <v>46216</v>
      </c>
      <c r="H426" t="s">
        <v>112</v>
      </c>
      <c r="I426" t="s">
        <v>74</v>
      </c>
    </row>
    <row r="427" spans="1:9" x14ac:dyDescent="0.25">
      <c r="A427" t="s">
        <v>842</v>
      </c>
      <c r="B427" t="s">
        <v>511</v>
      </c>
      <c r="C427" t="s">
        <v>382</v>
      </c>
      <c r="D427" t="s">
        <v>318</v>
      </c>
      <c r="E427" t="s">
        <v>358</v>
      </c>
      <c r="F427" s="10">
        <v>0.94</v>
      </c>
      <c r="G427" s="11">
        <v>46123</v>
      </c>
      <c r="H427" t="s">
        <v>73</v>
      </c>
      <c r="I427" t="s">
        <v>56</v>
      </c>
    </row>
    <row r="428" spans="1:9" x14ac:dyDescent="0.25">
      <c r="A428" t="s">
        <v>843</v>
      </c>
      <c r="B428" t="s">
        <v>484</v>
      </c>
      <c r="C428" t="s">
        <v>357</v>
      </c>
      <c r="D428" t="s">
        <v>263</v>
      </c>
      <c r="E428" t="s">
        <v>408</v>
      </c>
      <c r="F428" s="10">
        <v>0.64</v>
      </c>
      <c r="G428" s="11">
        <v>46076</v>
      </c>
      <c r="H428" t="s">
        <v>73</v>
      </c>
      <c r="I428" t="s">
        <v>56</v>
      </c>
    </row>
    <row r="429" spans="1:9" x14ac:dyDescent="0.25">
      <c r="A429" t="s">
        <v>844</v>
      </c>
      <c r="B429" t="s">
        <v>511</v>
      </c>
      <c r="C429" t="s">
        <v>361</v>
      </c>
      <c r="D429" t="s">
        <v>311</v>
      </c>
      <c r="E429" t="s">
        <v>358</v>
      </c>
      <c r="F429" s="10">
        <v>0.99</v>
      </c>
      <c r="G429" s="11">
        <v>45994</v>
      </c>
      <c r="H429" t="s">
        <v>112</v>
      </c>
      <c r="I429" t="s">
        <v>74</v>
      </c>
    </row>
    <row r="430" spans="1:9" x14ac:dyDescent="0.25">
      <c r="A430" t="s">
        <v>845</v>
      </c>
      <c r="B430" t="s">
        <v>415</v>
      </c>
      <c r="C430" t="s">
        <v>368</v>
      </c>
      <c r="D430" t="s">
        <v>301</v>
      </c>
      <c r="E430" t="s">
        <v>362</v>
      </c>
      <c r="F430" s="10">
        <v>0.77</v>
      </c>
      <c r="G430" s="11">
        <v>46221</v>
      </c>
      <c r="H430" t="s">
        <v>73</v>
      </c>
      <c r="I430" t="s">
        <v>56</v>
      </c>
    </row>
    <row r="431" spans="1:9" x14ac:dyDescent="0.25">
      <c r="A431" t="s">
        <v>846</v>
      </c>
      <c r="B431" t="s">
        <v>511</v>
      </c>
      <c r="C431" t="s">
        <v>357</v>
      </c>
      <c r="D431" t="s">
        <v>238</v>
      </c>
      <c r="E431" t="s">
        <v>408</v>
      </c>
      <c r="F431" s="10">
        <v>0.27</v>
      </c>
      <c r="G431" s="11">
        <v>45891</v>
      </c>
      <c r="H431" t="s">
        <v>91</v>
      </c>
      <c r="I431" t="s">
        <v>66</v>
      </c>
    </row>
    <row r="432" spans="1:9" x14ac:dyDescent="0.25">
      <c r="A432" t="s">
        <v>847</v>
      </c>
      <c r="B432" t="s">
        <v>487</v>
      </c>
      <c r="C432" t="s">
        <v>361</v>
      </c>
      <c r="D432" t="s">
        <v>194</v>
      </c>
      <c r="E432" t="s">
        <v>419</v>
      </c>
      <c r="F432" s="10">
        <v>0.93</v>
      </c>
      <c r="G432" s="11">
        <v>46023</v>
      </c>
      <c r="H432" t="s">
        <v>159</v>
      </c>
      <c r="I432" t="s">
        <v>84</v>
      </c>
    </row>
    <row r="433" spans="1:9" x14ac:dyDescent="0.25">
      <c r="A433" t="s">
        <v>848</v>
      </c>
      <c r="B433" t="s">
        <v>386</v>
      </c>
      <c r="C433" t="s">
        <v>361</v>
      </c>
      <c r="D433" t="s">
        <v>189</v>
      </c>
      <c r="E433" t="s">
        <v>362</v>
      </c>
      <c r="F433" s="10">
        <v>0.84</v>
      </c>
      <c r="G433" s="11">
        <v>46055</v>
      </c>
      <c r="H433" t="s">
        <v>159</v>
      </c>
      <c r="I433" t="s">
        <v>66</v>
      </c>
    </row>
    <row r="434" spans="1:9" x14ac:dyDescent="0.25">
      <c r="A434" t="s">
        <v>849</v>
      </c>
      <c r="B434" t="s">
        <v>570</v>
      </c>
      <c r="C434" t="s">
        <v>361</v>
      </c>
      <c r="D434" t="s">
        <v>301</v>
      </c>
      <c r="E434" t="s">
        <v>419</v>
      </c>
      <c r="F434" s="10">
        <v>0.86</v>
      </c>
      <c r="G434" s="11">
        <v>46220</v>
      </c>
      <c r="H434" t="s">
        <v>159</v>
      </c>
      <c r="I434" t="s">
        <v>84</v>
      </c>
    </row>
    <row r="435" spans="1:9" x14ac:dyDescent="0.25">
      <c r="A435" t="s">
        <v>850</v>
      </c>
      <c r="B435" t="s">
        <v>437</v>
      </c>
      <c r="C435" t="s">
        <v>357</v>
      </c>
      <c r="D435" t="s">
        <v>319</v>
      </c>
      <c r="E435" t="s">
        <v>391</v>
      </c>
      <c r="F435" s="10">
        <v>0.93</v>
      </c>
      <c r="G435" s="11">
        <v>45900</v>
      </c>
      <c r="H435" t="s">
        <v>55</v>
      </c>
      <c r="I435" t="s">
        <v>56</v>
      </c>
    </row>
    <row r="436" spans="1:9" x14ac:dyDescent="0.25">
      <c r="A436" t="s">
        <v>851</v>
      </c>
      <c r="B436" t="s">
        <v>441</v>
      </c>
      <c r="C436" t="s">
        <v>357</v>
      </c>
      <c r="D436" t="s">
        <v>329</v>
      </c>
      <c r="E436" t="s">
        <v>358</v>
      </c>
      <c r="F436" s="10">
        <v>0.5</v>
      </c>
      <c r="G436" s="11">
        <v>46002</v>
      </c>
      <c r="H436" t="s">
        <v>60</v>
      </c>
      <c r="I436" t="s">
        <v>61</v>
      </c>
    </row>
    <row r="437" spans="1:9" x14ac:dyDescent="0.25">
      <c r="A437" t="s">
        <v>852</v>
      </c>
      <c r="B437" t="s">
        <v>430</v>
      </c>
      <c r="C437" t="s">
        <v>357</v>
      </c>
      <c r="D437" t="s">
        <v>101</v>
      </c>
      <c r="E437" t="s">
        <v>365</v>
      </c>
      <c r="F437" s="10">
        <v>0.56999999999999995</v>
      </c>
      <c r="G437" s="11">
        <v>46214</v>
      </c>
      <c r="H437" t="s">
        <v>91</v>
      </c>
      <c r="I437" t="s">
        <v>61</v>
      </c>
    </row>
    <row r="438" spans="1:9" x14ac:dyDescent="0.25">
      <c r="A438" t="s">
        <v>853</v>
      </c>
      <c r="B438" t="s">
        <v>427</v>
      </c>
      <c r="C438" t="s">
        <v>361</v>
      </c>
      <c r="D438" t="s">
        <v>285</v>
      </c>
      <c r="E438" t="s">
        <v>358</v>
      </c>
      <c r="F438" s="10">
        <v>0.81</v>
      </c>
      <c r="G438" s="11">
        <v>45926</v>
      </c>
      <c r="H438" t="s">
        <v>78</v>
      </c>
      <c r="I438" t="s">
        <v>84</v>
      </c>
    </row>
    <row r="439" spans="1:9" x14ac:dyDescent="0.25">
      <c r="A439" t="s">
        <v>854</v>
      </c>
      <c r="B439" t="s">
        <v>462</v>
      </c>
      <c r="C439" t="s">
        <v>382</v>
      </c>
      <c r="D439" t="s">
        <v>93</v>
      </c>
      <c r="E439" t="s">
        <v>369</v>
      </c>
      <c r="F439" s="10">
        <v>0.81</v>
      </c>
      <c r="G439" s="11">
        <v>46230</v>
      </c>
      <c r="H439" t="s">
        <v>125</v>
      </c>
      <c r="I439" t="s">
        <v>66</v>
      </c>
    </row>
    <row r="440" spans="1:9" x14ac:dyDescent="0.25">
      <c r="A440" t="s">
        <v>855</v>
      </c>
      <c r="B440" t="s">
        <v>393</v>
      </c>
      <c r="C440" t="s">
        <v>382</v>
      </c>
      <c r="D440" t="s">
        <v>229</v>
      </c>
      <c r="E440" t="s">
        <v>365</v>
      </c>
      <c r="F440" s="10">
        <v>0.5</v>
      </c>
      <c r="G440" s="11">
        <v>46094</v>
      </c>
      <c r="H440" t="s">
        <v>159</v>
      </c>
      <c r="I440" t="s">
        <v>84</v>
      </c>
    </row>
    <row r="441" spans="1:9" x14ac:dyDescent="0.25">
      <c r="A441" t="s">
        <v>856</v>
      </c>
      <c r="B441" t="s">
        <v>511</v>
      </c>
      <c r="C441" t="s">
        <v>368</v>
      </c>
      <c r="D441" t="s">
        <v>162</v>
      </c>
      <c r="E441" t="s">
        <v>419</v>
      </c>
      <c r="F441" s="10">
        <v>0.49</v>
      </c>
      <c r="G441" s="11">
        <v>46187</v>
      </c>
      <c r="H441" t="s">
        <v>73</v>
      </c>
      <c r="I441" t="s">
        <v>61</v>
      </c>
    </row>
    <row r="442" spans="1:9" x14ac:dyDescent="0.25">
      <c r="A442" t="s">
        <v>857</v>
      </c>
      <c r="B442" t="s">
        <v>386</v>
      </c>
      <c r="C442" t="s">
        <v>368</v>
      </c>
      <c r="D442" t="s">
        <v>287</v>
      </c>
      <c r="E442" t="s">
        <v>369</v>
      </c>
      <c r="F442" s="10">
        <v>0.93</v>
      </c>
      <c r="G442" s="11">
        <v>46150</v>
      </c>
      <c r="H442" t="s">
        <v>159</v>
      </c>
      <c r="I442" t="s">
        <v>74</v>
      </c>
    </row>
    <row r="443" spans="1:9" x14ac:dyDescent="0.25">
      <c r="A443" t="s">
        <v>858</v>
      </c>
      <c r="B443" t="s">
        <v>399</v>
      </c>
      <c r="C443" t="s">
        <v>368</v>
      </c>
      <c r="D443" t="s">
        <v>162</v>
      </c>
      <c r="E443" t="s">
        <v>362</v>
      </c>
      <c r="F443" s="10">
        <v>0.25</v>
      </c>
      <c r="G443" s="11">
        <v>46231</v>
      </c>
      <c r="H443" t="s">
        <v>55</v>
      </c>
      <c r="I443" t="s">
        <v>84</v>
      </c>
    </row>
    <row r="444" spans="1:9" x14ac:dyDescent="0.25">
      <c r="A444" t="s">
        <v>859</v>
      </c>
      <c r="B444" t="s">
        <v>415</v>
      </c>
      <c r="C444" t="s">
        <v>361</v>
      </c>
      <c r="D444" t="s">
        <v>157</v>
      </c>
      <c r="E444" t="s">
        <v>419</v>
      </c>
      <c r="F444" s="10">
        <v>0.43</v>
      </c>
      <c r="G444" s="11">
        <v>46014</v>
      </c>
      <c r="H444" t="s">
        <v>60</v>
      </c>
      <c r="I444" t="s">
        <v>56</v>
      </c>
    </row>
    <row r="445" spans="1:9" x14ac:dyDescent="0.25">
      <c r="A445" t="s">
        <v>860</v>
      </c>
      <c r="B445" t="s">
        <v>360</v>
      </c>
      <c r="C445" t="s">
        <v>368</v>
      </c>
      <c r="D445" t="s">
        <v>338</v>
      </c>
      <c r="E445" t="s">
        <v>408</v>
      </c>
      <c r="F445" s="10">
        <v>0.94</v>
      </c>
      <c r="G445" s="11">
        <v>46054</v>
      </c>
      <c r="H445" t="s">
        <v>78</v>
      </c>
      <c r="I445" t="s">
        <v>61</v>
      </c>
    </row>
    <row r="446" spans="1:9" x14ac:dyDescent="0.25">
      <c r="A446" t="s">
        <v>861</v>
      </c>
      <c r="B446" t="s">
        <v>441</v>
      </c>
      <c r="C446" t="s">
        <v>368</v>
      </c>
      <c r="D446" t="s">
        <v>341</v>
      </c>
      <c r="E446" t="s">
        <v>373</v>
      </c>
      <c r="F446" s="10">
        <v>0.76</v>
      </c>
      <c r="G446" s="11">
        <v>45877</v>
      </c>
      <c r="H446" t="s">
        <v>55</v>
      </c>
      <c r="I446" t="s">
        <v>66</v>
      </c>
    </row>
    <row r="447" spans="1:9" x14ac:dyDescent="0.25">
      <c r="A447" t="s">
        <v>862</v>
      </c>
      <c r="B447" t="s">
        <v>412</v>
      </c>
      <c r="C447" t="s">
        <v>382</v>
      </c>
      <c r="D447" t="s">
        <v>245</v>
      </c>
      <c r="E447" t="s">
        <v>365</v>
      </c>
      <c r="F447" s="10">
        <v>0.38</v>
      </c>
      <c r="G447" s="11">
        <v>45983</v>
      </c>
      <c r="H447" t="s">
        <v>65</v>
      </c>
      <c r="I447" t="s">
        <v>84</v>
      </c>
    </row>
    <row r="448" spans="1:9" x14ac:dyDescent="0.25">
      <c r="A448" t="s">
        <v>863</v>
      </c>
      <c r="B448" t="s">
        <v>397</v>
      </c>
      <c r="C448" t="s">
        <v>357</v>
      </c>
      <c r="D448" t="s">
        <v>172</v>
      </c>
      <c r="E448" t="s">
        <v>362</v>
      </c>
      <c r="F448" s="10">
        <v>0.64</v>
      </c>
      <c r="G448" s="11">
        <v>46206</v>
      </c>
      <c r="H448" t="s">
        <v>112</v>
      </c>
      <c r="I448" t="s">
        <v>84</v>
      </c>
    </row>
    <row r="449" spans="1:9" x14ac:dyDescent="0.25">
      <c r="A449" t="s">
        <v>864</v>
      </c>
      <c r="B449" t="s">
        <v>423</v>
      </c>
      <c r="C449" t="s">
        <v>382</v>
      </c>
      <c r="D449" t="s">
        <v>212</v>
      </c>
      <c r="E449" t="s">
        <v>365</v>
      </c>
      <c r="F449" s="10">
        <v>0.63</v>
      </c>
      <c r="G449" s="11">
        <v>45893</v>
      </c>
      <c r="H449" t="s">
        <v>91</v>
      </c>
      <c r="I449" t="s">
        <v>66</v>
      </c>
    </row>
    <row r="450" spans="1:9" x14ac:dyDescent="0.25">
      <c r="A450" t="s">
        <v>865</v>
      </c>
      <c r="B450" t="s">
        <v>568</v>
      </c>
      <c r="C450" t="s">
        <v>361</v>
      </c>
      <c r="D450" t="s">
        <v>260</v>
      </c>
      <c r="E450" t="s">
        <v>358</v>
      </c>
      <c r="F450" s="10">
        <v>0.61</v>
      </c>
      <c r="G450" s="11">
        <v>45916</v>
      </c>
      <c r="H450" t="s">
        <v>78</v>
      </c>
      <c r="I450" t="s">
        <v>74</v>
      </c>
    </row>
    <row r="451" spans="1:9" x14ac:dyDescent="0.25">
      <c r="A451" t="s">
        <v>866</v>
      </c>
      <c r="B451" t="s">
        <v>375</v>
      </c>
      <c r="C451" t="s">
        <v>368</v>
      </c>
      <c r="D451" t="s">
        <v>147</v>
      </c>
      <c r="E451" t="s">
        <v>369</v>
      </c>
      <c r="F451" s="10">
        <v>0.73</v>
      </c>
      <c r="G451" s="11">
        <v>45931</v>
      </c>
      <c r="H451" t="s">
        <v>125</v>
      </c>
      <c r="I451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A16A-F563-4D90-97A9-3F5E21205B8C}">
  <sheetPr codeName="Sheet5"/>
  <dimension ref="A1:J101"/>
  <sheetViews>
    <sheetView workbookViewId="0"/>
  </sheetViews>
  <sheetFormatPr defaultRowHeight="15" x14ac:dyDescent="0.25"/>
  <cols>
    <col min="1" max="10" width="16.7109375" customWidth="1"/>
  </cols>
  <sheetData>
    <row r="1" spans="1:10" x14ac:dyDescent="0.25">
      <c r="A1" s="9" t="s">
        <v>867</v>
      </c>
      <c r="B1" s="9" t="s">
        <v>868</v>
      </c>
      <c r="C1" s="9" t="s">
        <v>869</v>
      </c>
      <c r="D1" s="9" t="s">
        <v>8</v>
      </c>
      <c r="E1" s="9" t="s">
        <v>870</v>
      </c>
      <c r="F1" s="9" t="s">
        <v>48</v>
      </c>
      <c r="G1" s="9" t="s">
        <v>871</v>
      </c>
      <c r="H1" s="9" t="s">
        <v>872</v>
      </c>
      <c r="I1" s="9" t="s">
        <v>873</v>
      </c>
      <c r="J1" s="9" t="s">
        <v>874</v>
      </c>
    </row>
    <row r="2" spans="1:10" x14ac:dyDescent="0.25">
      <c r="A2" t="s">
        <v>875</v>
      </c>
      <c r="B2" s="11">
        <v>46100</v>
      </c>
      <c r="C2" t="s">
        <v>876</v>
      </c>
      <c r="D2" t="s">
        <v>877</v>
      </c>
      <c r="E2">
        <v>4</v>
      </c>
      <c r="F2" t="s">
        <v>74</v>
      </c>
      <c r="G2" s="15">
        <v>268012</v>
      </c>
      <c r="H2" t="s">
        <v>878</v>
      </c>
      <c r="I2" s="11">
        <v>46206</v>
      </c>
      <c r="J2" t="s">
        <v>879</v>
      </c>
    </row>
    <row r="3" spans="1:10" x14ac:dyDescent="0.25">
      <c r="A3" t="s">
        <v>880</v>
      </c>
      <c r="B3" s="11">
        <v>46040</v>
      </c>
      <c r="C3" t="s">
        <v>881</v>
      </c>
      <c r="D3" t="s">
        <v>882</v>
      </c>
      <c r="E3">
        <v>4</v>
      </c>
      <c r="F3" t="s">
        <v>56</v>
      </c>
      <c r="G3" s="15">
        <v>249458</v>
      </c>
      <c r="H3" t="s">
        <v>883</v>
      </c>
      <c r="I3" s="11">
        <v>46225</v>
      </c>
      <c r="J3" t="s">
        <v>884</v>
      </c>
    </row>
    <row r="4" spans="1:10" x14ac:dyDescent="0.25">
      <c r="A4" t="s">
        <v>885</v>
      </c>
      <c r="B4" s="11">
        <v>45724</v>
      </c>
      <c r="C4" t="s">
        <v>118</v>
      </c>
      <c r="D4" t="s">
        <v>886</v>
      </c>
      <c r="E4">
        <v>1</v>
      </c>
      <c r="F4" t="s">
        <v>61</v>
      </c>
      <c r="G4" s="15">
        <v>398250</v>
      </c>
      <c r="H4" t="s">
        <v>887</v>
      </c>
      <c r="I4" s="11">
        <v>46208</v>
      </c>
      <c r="J4" t="s">
        <v>888</v>
      </c>
    </row>
    <row r="5" spans="1:10" x14ac:dyDescent="0.25">
      <c r="A5" t="s">
        <v>889</v>
      </c>
      <c r="B5" s="11">
        <v>45734</v>
      </c>
      <c r="C5" t="s">
        <v>881</v>
      </c>
      <c r="D5" t="s">
        <v>890</v>
      </c>
      <c r="E5">
        <v>1</v>
      </c>
      <c r="F5" t="s">
        <v>56</v>
      </c>
      <c r="G5" s="15">
        <v>50578</v>
      </c>
      <c r="H5" t="s">
        <v>891</v>
      </c>
      <c r="I5" s="11">
        <v>46226</v>
      </c>
      <c r="J5" t="s">
        <v>892</v>
      </c>
    </row>
    <row r="6" spans="1:10" x14ac:dyDescent="0.25">
      <c r="A6" t="s">
        <v>893</v>
      </c>
      <c r="B6" s="11">
        <v>45686</v>
      </c>
      <c r="C6" t="s">
        <v>894</v>
      </c>
      <c r="D6" t="s">
        <v>895</v>
      </c>
      <c r="E6">
        <v>4</v>
      </c>
      <c r="F6" t="s">
        <v>66</v>
      </c>
      <c r="G6" s="15">
        <v>358256</v>
      </c>
      <c r="H6" t="s">
        <v>896</v>
      </c>
      <c r="I6" s="11">
        <v>46204</v>
      </c>
      <c r="J6" t="s">
        <v>897</v>
      </c>
    </row>
    <row r="7" spans="1:10" x14ac:dyDescent="0.25">
      <c r="A7" t="s">
        <v>898</v>
      </c>
      <c r="B7" s="11">
        <v>46230</v>
      </c>
      <c r="C7" t="s">
        <v>899</v>
      </c>
      <c r="D7" t="s">
        <v>900</v>
      </c>
      <c r="E7">
        <v>5</v>
      </c>
      <c r="F7" t="s">
        <v>56</v>
      </c>
      <c r="G7" s="15">
        <v>141429</v>
      </c>
      <c r="H7" t="s">
        <v>891</v>
      </c>
      <c r="I7" s="11">
        <v>46203</v>
      </c>
      <c r="J7" t="s">
        <v>901</v>
      </c>
    </row>
    <row r="8" spans="1:10" x14ac:dyDescent="0.25">
      <c r="A8" t="s">
        <v>902</v>
      </c>
      <c r="B8" s="11">
        <v>46120</v>
      </c>
      <c r="C8" t="s">
        <v>903</v>
      </c>
      <c r="D8" t="s">
        <v>904</v>
      </c>
      <c r="E8">
        <v>3</v>
      </c>
      <c r="F8" t="s">
        <v>84</v>
      </c>
      <c r="G8" s="15">
        <v>266227</v>
      </c>
      <c r="H8" t="s">
        <v>878</v>
      </c>
      <c r="I8" s="11">
        <v>46206</v>
      </c>
      <c r="J8" t="s">
        <v>905</v>
      </c>
    </row>
    <row r="9" spans="1:10" x14ac:dyDescent="0.25">
      <c r="A9" t="s">
        <v>906</v>
      </c>
      <c r="B9" s="11">
        <v>45552</v>
      </c>
      <c r="C9" t="s">
        <v>899</v>
      </c>
      <c r="D9" t="s">
        <v>907</v>
      </c>
      <c r="E9">
        <v>5</v>
      </c>
      <c r="F9" t="s">
        <v>74</v>
      </c>
      <c r="G9" s="15">
        <v>103368</v>
      </c>
      <c r="H9" t="s">
        <v>908</v>
      </c>
      <c r="I9" s="11">
        <v>46223</v>
      </c>
      <c r="J9" t="s">
        <v>909</v>
      </c>
    </row>
    <row r="10" spans="1:10" x14ac:dyDescent="0.25">
      <c r="A10" t="s">
        <v>910</v>
      </c>
      <c r="B10" s="11">
        <v>45905</v>
      </c>
      <c r="C10" t="s">
        <v>881</v>
      </c>
      <c r="D10" t="s">
        <v>911</v>
      </c>
      <c r="E10">
        <v>1</v>
      </c>
      <c r="F10" t="s">
        <v>61</v>
      </c>
      <c r="G10" s="15">
        <v>456999</v>
      </c>
      <c r="H10" t="s">
        <v>883</v>
      </c>
      <c r="I10" s="11">
        <v>46213</v>
      </c>
      <c r="J10" t="s">
        <v>912</v>
      </c>
    </row>
    <row r="11" spans="1:10" x14ac:dyDescent="0.25">
      <c r="A11" t="s">
        <v>913</v>
      </c>
      <c r="B11" s="11">
        <v>45766</v>
      </c>
      <c r="C11" t="s">
        <v>914</v>
      </c>
      <c r="D11" t="s">
        <v>915</v>
      </c>
      <c r="E11">
        <v>2</v>
      </c>
      <c r="F11" t="s">
        <v>74</v>
      </c>
      <c r="G11" s="15">
        <v>499092</v>
      </c>
      <c r="H11" t="s">
        <v>916</v>
      </c>
      <c r="I11" s="11">
        <v>46207</v>
      </c>
      <c r="J11" t="s">
        <v>917</v>
      </c>
    </row>
    <row r="12" spans="1:10" x14ac:dyDescent="0.25">
      <c r="A12" t="s">
        <v>918</v>
      </c>
      <c r="B12" s="11">
        <v>46229</v>
      </c>
      <c r="C12" t="s">
        <v>894</v>
      </c>
      <c r="D12" t="s">
        <v>919</v>
      </c>
      <c r="E12">
        <v>1</v>
      </c>
      <c r="F12" t="s">
        <v>66</v>
      </c>
      <c r="G12" s="15">
        <v>368798</v>
      </c>
      <c r="H12" t="s">
        <v>920</v>
      </c>
      <c r="I12" s="11">
        <v>46207</v>
      </c>
      <c r="J12" t="s">
        <v>921</v>
      </c>
    </row>
    <row r="13" spans="1:10" x14ac:dyDescent="0.25">
      <c r="A13" t="s">
        <v>922</v>
      </c>
      <c r="B13" s="11">
        <v>45868</v>
      </c>
      <c r="C13" t="s">
        <v>876</v>
      </c>
      <c r="D13" t="s">
        <v>923</v>
      </c>
      <c r="E13">
        <v>2</v>
      </c>
      <c r="F13" t="s">
        <v>84</v>
      </c>
      <c r="G13" s="15">
        <v>179544</v>
      </c>
      <c r="H13" t="s">
        <v>924</v>
      </c>
      <c r="I13" s="11">
        <v>46217</v>
      </c>
      <c r="J13" t="s">
        <v>925</v>
      </c>
    </row>
    <row r="14" spans="1:10" x14ac:dyDescent="0.25">
      <c r="A14" t="s">
        <v>926</v>
      </c>
      <c r="B14" s="11">
        <v>46048</v>
      </c>
      <c r="C14" t="s">
        <v>894</v>
      </c>
      <c r="D14" t="s">
        <v>927</v>
      </c>
      <c r="E14">
        <v>3</v>
      </c>
      <c r="F14" t="s">
        <v>61</v>
      </c>
      <c r="G14" s="15">
        <v>379157</v>
      </c>
      <c r="H14" t="s">
        <v>878</v>
      </c>
      <c r="I14" s="11">
        <v>46217</v>
      </c>
      <c r="J14" t="s">
        <v>928</v>
      </c>
    </row>
    <row r="15" spans="1:10" x14ac:dyDescent="0.25">
      <c r="A15" t="s">
        <v>929</v>
      </c>
      <c r="B15" s="11">
        <v>46051</v>
      </c>
      <c r="C15" t="s">
        <v>930</v>
      </c>
      <c r="D15" t="s">
        <v>931</v>
      </c>
      <c r="E15">
        <v>5</v>
      </c>
      <c r="F15" t="s">
        <v>66</v>
      </c>
      <c r="G15" s="15">
        <v>321489</v>
      </c>
      <c r="H15" t="s">
        <v>896</v>
      </c>
      <c r="I15" s="11">
        <v>46226</v>
      </c>
      <c r="J15" t="s">
        <v>932</v>
      </c>
    </row>
    <row r="16" spans="1:10" x14ac:dyDescent="0.25">
      <c r="A16" t="s">
        <v>933</v>
      </c>
      <c r="B16" s="11">
        <v>45708</v>
      </c>
      <c r="C16" t="s">
        <v>903</v>
      </c>
      <c r="D16" t="s">
        <v>934</v>
      </c>
      <c r="E16">
        <v>1</v>
      </c>
      <c r="F16" t="s">
        <v>84</v>
      </c>
      <c r="G16" s="15">
        <v>212169</v>
      </c>
      <c r="H16" t="s">
        <v>908</v>
      </c>
      <c r="I16" s="11">
        <v>46212</v>
      </c>
      <c r="J16" t="s">
        <v>935</v>
      </c>
    </row>
    <row r="17" spans="1:10" x14ac:dyDescent="0.25">
      <c r="A17" t="s">
        <v>936</v>
      </c>
      <c r="B17" s="11">
        <v>45746</v>
      </c>
      <c r="C17" t="s">
        <v>899</v>
      </c>
      <c r="D17" t="s">
        <v>937</v>
      </c>
      <c r="E17">
        <v>4</v>
      </c>
      <c r="F17" t="s">
        <v>56</v>
      </c>
      <c r="G17" s="15">
        <v>22995</v>
      </c>
      <c r="H17" t="s">
        <v>887</v>
      </c>
      <c r="I17" s="11">
        <v>46215</v>
      </c>
      <c r="J17" t="s">
        <v>938</v>
      </c>
    </row>
    <row r="18" spans="1:10" x14ac:dyDescent="0.25">
      <c r="A18" t="s">
        <v>939</v>
      </c>
      <c r="B18" s="11">
        <v>45623</v>
      </c>
      <c r="C18" t="s">
        <v>118</v>
      </c>
      <c r="D18" t="s">
        <v>940</v>
      </c>
      <c r="E18">
        <v>2</v>
      </c>
      <c r="F18" t="s">
        <v>61</v>
      </c>
      <c r="G18" s="15">
        <v>138953</v>
      </c>
      <c r="H18" t="s">
        <v>924</v>
      </c>
      <c r="I18" s="11">
        <v>46212</v>
      </c>
      <c r="J18" t="s">
        <v>941</v>
      </c>
    </row>
    <row r="19" spans="1:10" x14ac:dyDescent="0.25">
      <c r="A19" t="s">
        <v>942</v>
      </c>
      <c r="B19" s="11">
        <v>46143</v>
      </c>
      <c r="C19" t="s">
        <v>930</v>
      </c>
      <c r="D19" t="s">
        <v>943</v>
      </c>
      <c r="E19">
        <v>4</v>
      </c>
      <c r="F19" t="s">
        <v>74</v>
      </c>
      <c r="G19" s="15">
        <v>344909</v>
      </c>
      <c r="H19" t="s">
        <v>920</v>
      </c>
      <c r="I19" s="11">
        <v>46211</v>
      </c>
      <c r="J19" t="s">
        <v>944</v>
      </c>
    </row>
    <row r="20" spans="1:10" x14ac:dyDescent="0.25">
      <c r="A20" t="s">
        <v>945</v>
      </c>
      <c r="B20" s="11">
        <v>45670</v>
      </c>
      <c r="C20" t="s">
        <v>903</v>
      </c>
      <c r="D20" t="s">
        <v>946</v>
      </c>
      <c r="E20">
        <v>1</v>
      </c>
      <c r="F20" t="s">
        <v>74</v>
      </c>
      <c r="G20" s="15">
        <v>340022</v>
      </c>
      <c r="H20" t="s">
        <v>887</v>
      </c>
      <c r="I20" s="11">
        <v>46231</v>
      </c>
      <c r="J20" t="s">
        <v>947</v>
      </c>
    </row>
    <row r="21" spans="1:10" x14ac:dyDescent="0.25">
      <c r="A21" t="s">
        <v>948</v>
      </c>
      <c r="B21" s="11">
        <v>45812</v>
      </c>
      <c r="C21" t="s">
        <v>949</v>
      </c>
      <c r="D21" t="s">
        <v>950</v>
      </c>
      <c r="E21">
        <v>4</v>
      </c>
      <c r="F21" t="s">
        <v>66</v>
      </c>
      <c r="G21" s="15">
        <v>378050</v>
      </c>
      <c r="H21" t="s">
        <v>951</v>
      </c>
      <c r="I21" s="11">
        <v>46223</v>
      </c>
      <c r="J21" t="s">
        <v>952</v>
      </c>
    </row>
    <row r="22" spans="1:10" x14ac:dyDescent="0.25">
      <c r="A22" t="s">
        <v>953</v>
      </c>
      <c r="B22" s="11">
        <v>45700</v>
      </c>
      <c r="C22" t="s">
        <v>930</v>
      </c>
      <c r="D22" t="s">
        <v>954</v>
      </c>
      <c r="E22">
        <v>4</v>
      </c>
      <c r="F22" t="s">
        <v>84</v>
      </c>
      <c r="G22" s="15">
        <v>409935</v>
      </c>
      <c r="H22" t="s">
        <v>896</v>
      </c>
      <c r="I22" s="11">
        <v>46227</v>
      </c>
      <c r="J22" t="s">
        <v>955</v>
      </c>
    </row>
    <row r="23" spans="1:10" x14ac:dyDescent="0.25">
      <c r="A23" t="s">
        <v>956</v>
      </c>
      <c r="B23" s="11">
        <v>45590</v>
      </c>
      <c r="C23" t="s">
        <v>876</v>
      </c>
      <c r="D23" t="s">
        <v>957</v>
      </c>
      <c r="E23">
        <v>5</v>
      </c>
      <c r="F23" t="s">
        <v>74</v>
      </c>
      <c r="G23" s="15">
        <v>477708</v>
      </c>
      <c r="H23" t="s">
        <v>896</v>
      </c>
      <c r="I23" s="11">
        <v>46231</v>
      </c>
      <c r="J23" t="s">
        <v>958</v>
      </c>
    </row>
    <row r="24" spans="1:10" x14ac:dyDescent="0.25">
      <c r="A24" t="s">
        <v>959</v>
      </c>
      <c r="B24" s="11">
        <v>45917</v>
      </c>
      <c r="C24" t="s">
        <v>960</v>
      </c>
      <c r="D24" t="s">
        <v>961</v>
      </c>
      <c r="E24">
        <v>5</v>
      </c>
      <c r="F24" t="s">
        <v>74</v>
      </c>
      <c r="G24" s="15">
        <v>111398</v>
      </c>
      <c r="H24" t="s">
        <v>920</v>
      </c>
      <c r="I24" s="11">
        <v>46224</v>
      </c>
      <c r="J24" t="s">
        <v>962</v>
      </c>
    </row>
    <row r="25" spans="1:10" x14ac:dyDescent="0.25">
      <c r="A25" t="s">
        <v>963</v>
      </c>
      <c r="B25" s="11">
        <v>45886</v>
      </c>
      <c r="C25" t="s">
        <v>118</v>
      </c>
      <c r="D25" t="s">
        <v>964</v>
      </c>
      <c r="E25">
        <v>4</v>
      </c>
      <c r="F25" t="s">
        <v>56</v>
      </c>
      <c r="G25" s="15">
        <v>486676</v>
      </c>
      <c r="H25" t="s">
        <v>891</v>
      </c>
      <c r="I25" s="11">
        <v>46220</v>
      </c>
      <c r="J25" t="s">
        <v>965</v>
      </c>
    </row>
    <row r="26" spans="1:10" x14ac:dyDescent="0.25">
      <c r="A26" t="s">
        <v>966</v>
      </c>
      <c r="B26" s="11">
        <v>45672</v>
      </c>
      <c r="C26" t="s">
        <v>881</v>
      </c>
      <c r="D26" t="s">
        <v>967</v>
      </c>
      <c r="E26">
        <v>2</v>
      </c>
      <c r="F26" t="s">
        <v>84</v>
      </c>
      <c r="G26" s="15">
        <v>115735</v>
      </c>
      <c r="H26" t="s">
        <v>887</v>
      </c>
      <c r="I26" s="11">
        <v>46219</v>
      </c>
      <c r="J26" t="s">
        <v>968</v>
      </c>
    </row>
    <row r="27" spans="1:10" x14ac:dyDescent="0.25">
      <c r="A27" t="s">
        <v>969</v>
      </c>
      <c r="B27" s="11">
        <v>45631</v>
      </c>
      <c r="C27" t="s">
        <v>881</v>
      </c>
      <c r="D27" t="s">
        <v>970</v>
      </c>
      <c r="E27">
        <v>2</v>
      </c>
      <c r="F27" t="s">
        <v>66</v>
      </c>
      <c r="G27" s="15">
        <v>353889</v>
      </c>
      <c r="H27" t="s">
        <v>908</v>
      </c>
      <c r="I27" s="11">
        <v>46202</v>
      </c>
      <c r="J27" t="s">
        <v>971</v>
      </c>
    </row>
    <row r="28" spans="1:10" x14ac:dyDescent="0.25">
      <c r="A28" t="s">
        <v>972</v>
      </c>
      <c r="B28" s="11">
        <v>45635</v>
      </c>
      <c r="C28" t="s">
        <v>973</v>
      </c>
      <c r="D28" t="s">
        <v>974</v>
      </c>
      <c r="E28">
        <v>2</v>
      </c>
      <c r="F28" t="s">
        <v>56</v>
      </c>
      <c r="G28" s="15">
        <v>94343</v>
      </c>
      <c r="H28" t="s">
        <v>920</v>
      </c>
      <c r="I28" s="11">
        <v>46218</v>
      </c>
      <c r="J28" t="s">
        <v>975</v>
      </c>
    </row>
    <row r="29" spans="1:10" x14ac:dyDescent="0.25">
      <c r="A29" t="s">
        <v>976</v>
      </c>
      <c r="B29" s="11">
        <v>46096</v>
      </c>
      <c r="C29" t="s">
        <v>903</v>
      </c>
      <c r="D29" t="s">
        <v>977</v>
      </c>
      <c r="E29">
        <v>3</v>
      </c>
      <c r="F29" t="s">
        <v>74</v>
      </c>
      <c r="G29" s="15">
        <v>201430</v>
      </c>
      <c r="H29" t="s">
        <v>878</v>
      </c>
      <c r="I29" s="11">
        <v>46213</v>
      </c>
      <c r="J29" t="s">
        <v>978</v>
      </c>
    </row>
    <row r="30" spans="1:10" x14ac:dyDescent="0.25">
      <c r="A30" t="s">
        <v>979</v>
      </c>
      <c r="B30" s="11">
        <v>45694</v>
      </c>
      <c r="C30" t="s">
        <v>960</v>
      </c>
      <c r="D30" t="s">
        <v>980</v>
      </c>
      <c r="E30">
        <v>5</v>
      </c>
      <c r="F30" t="s">
        <v>84</v>
      </c>
      <c r="G30" s="15">
        <v>133595</v>
      </c>
      <c r="H30" t="s">
        <v>887</v>
      </c>
      <c r="I30" s="11">
        <v>46226</v>
      </c>
      <c r="J30" t="s">
        <v>981</v>
      </c>
    </row>
    <row r="31" spans="1:10" x14ac:dyDescent="0.25">
      <c r="A31" t="s">
        <v>982</v>
      </c>
      <c r="B31" s="11">
        <v>45830</v>
      </c>
      <c r="C31" t="s">
        <v>949</v>
      </c>
      <c r="D31" t="s">
        <v>983</v>
      </c>
      <c r="E31">
        <v>4</v>
      </c>
      <c r="F31" t="s">
        <v>74</v>
      </c>
      <c r="G31" s="15">
        <v>11432</v>
      </c>
      <c r="H31" t="s">
        <v>916</v>
      </c>
      <c r="I31" s="11">
        <v>46212</v>
      </c>
      <c r="J31" t="s">
        <v>984</v>
      </c>
    </row>
    <row r="32" spans="1:10" x14ac:dyDescent="0.25">
      <c r="A32" t="s">
        <v>985</v>
      </c>
      <c r="B32" s="11">
        <v>46096</v>
      </c>
      <c r="C32" t="s">
        <v>914</v>
      </c>
      <c r="D32" t="s">
        <v>986</v>
      </c>
      <c r="E32">
        <v>2</v>
      </c>
      <c r="F32" t="s">
        <v>56</v>
      </c>
      <c r="G32" s="15">
        <v>93295</v>
      </c>
      <c r="H32" t="s">
        <v>883</v>
      </c>
      <c r="I32" s="11">
        <v>46202</v>
      </c>
      <c r="J32" t="s">
        <v>987</v>
      </c>
    </row>
    <row r="33" spans="1:10" x14ac:dyDescent="0.25">
      <c r="A33" t="s">
        <v>988</v>
      </c>
      <c r="B33" s="11">
        <v>45607</v>
      </c>
      <c r="C33" t="s">
        <v>876</v>
      </c>
      <c r="D33" t="s">
        <v>989</v>
      </c>
      <c r="E33">
        <v>1</v>
      </c>
      <c r="F33" t="s">
        <v>84</v>
      </c>
      <c r="G33" s="15">
        <v>227172</v>
      </c>
      <c r="H33" t="s">
        <v>951</v>
      </c>
      <c r="I33" s="11">
        <v>46202</v>
      </c>
      <c r="J33" t="s">
        <v>990</v>
      </c>
    </row>
    <row r="34" spans="1:10" x14ac:dyDescent="0.25">
      <c r="A34" t="s">
        <v>991</v>
      </c>
      <c r="B34" s="11">
        <v>46002</v>
      </c>
      <c r="C34" t="s">
        <v>118</v>
      </c>
      <c r="D34" t="s">
        <v>992</v>
      </c>
      <c r="E34">
        <v>4</v>
      </c>
      <c r="F34" t="s">
        <v>84</v>
      </c>
      <c r="G34" s="15">
        <v>136625</v>
      </c>
      <c r="H34" t="s">
        <v>896</v>
      </c>
      <c r="I34" s="11">
        <v>46220</v>
      </c>
      <c r="J34" t="s">
        <v>993</v>
      </c>
    </row>
    <row r="35" spans="1:10" x14ac:dyDescent="0.25">
      <c r="A35" t="s">
        <v>994</v>
      </c>
      <c r="B35" s="11">
        <v>45640</v>
      </c>
      <c r="C35" t="s">
        <v>570</v>
      </c>
      <c r="D35" t="s">
        <v>995</v>
      </c>
      <c r="E35">
        <v>2</v>
      </c>
      <c r="F35" t="s">
        <v>84</v>
      </c>
      <c r="G35" s="15">
        <v>196371</v>
      </c>
      <c r="H35" t="s">
        <v>916</v>
      </c>
      <c r="I35" s="11">
        <v>46206</v>
      </c>
      <c r="J35" t="s">
        <v>996</v>
      </c>
    </row>
    <row r="36" spans="1:10" x14ac:dyDescent="0.25">
      <c r="A36" t="s">
        <v>997</v>
      </c>
      <c r="B36" s="11">
        <v>45879</v>
      </c>
      <c r="C36" t="s">
        <v>949</v>
      </c>
      <c r="D36" t="s">
        <v>998</v>
      </c>
      <c r="E36">
        <v>4</v>
      </c>
      <c r="F36" t="s">
        <v>61</v>
      </c>
      <c r="G36" s="15">
        <v>295226</v>
      </c>
      <c r="H36" t="s">
        <v>891</v>
      </c>
      <c r="I36" s="11">
        <v>46228</v>
      </c>
      <c r="J36" t="s">
        <v>999</v>
      </c>
    </row>
    <row r="37" spans="1:10" x14ac:dyDescent="0.25">
      <c r="A37" t="s">
        <v>1000</v>
      </c>
      <c r="B37" s="11">
        <v>45553</v>
      </c>
      <c r="C37" t="s">
        <v>949</v>
      </c>
      <c r="D37" t="s">
        <v>1001</v>
      </c>
      <c r="E37">
        <v>3</v>
      </c>
      <c r="F37" t="s">
        <v>74</v>
      </c>
      <c r="G37" s="15">
        <v>491504</v>
      </c>
      <c r="H37" t="s">
        <v>920</v>
      </c>
      <c r="I37" s="11">
        <v>46213</v>
      </c>
      <c r="J37" t="s">
        <v>1002</v>
      </c>
    </row>
    <row r="38" spans="1:10" x14ac:dyDescent="0.25">
      <c r="A38" t="s">
        <v>1003</v>
      </c>
      <c r="B38" s="11">
        <v>46066</v>
      </c>
      <c r="C38" t="s">
        <v>903</v>
      </c>
      <c r="D38" t="s">
        <v>1004</v>
      </c>
      <c r="E38">
        <v>5</v>
      </c>
      <c r="F38" t="s">
        <v>61</v>
      </c>
      <c r="G38" s="15">
        <v>51820</v>
      </c>
      <c r="H38" t="s">
        <v>891</v>
      </c>
      <c r="I38" s="11">
        <v>46213</v>
      </c>
      <c r="J38" t="s">
        <v>1005</v>
      </c>
    </row>
    <row r="39" spans="1:10" x14ac:dyDescent="0.25">
      <c r="A39" t="s">
        <v>1006</v>
      </c>
      <c r="B39" s="11">
        <v>45782</v>
      </c>
      <c r="C39" t="s">
        <v>973</v>
      </c>
      <c r="D39" t="s">
        <v>1007</v>
      </c>
      <c r="E39">
        <v>4</v>
      </c>
      <c r="F39" t="s">
        <v>61</v>
      </c>
      <c r="G39" s="15">
        <v>296620</v>
      </c>
      <c r="H39" t="s">
        <v>883</v>
      </c>
      <c r="I39" s="11">
        <v>46205</v>
      </c>
      <c r="J39" t="s">
        <v>1008</v>
      </c>
    </row>
    <row r="40" spans="1:10" x14ac:dyDescent="0.25">
      <c r="A40" t="s">
        <v>1009</v>
      </c>
      <c r="B40" s="11">
        <v>46129</v>
      </c>
      <c r="C40" t="s">
        <v>881</v>
      </c>
      <c r="D40" t="s">
        <v>1010</v>
      </c>
      <c r="E40">
        <v>4</v>
      </c>
      <c r="F40" t="s">
        <v>84</v>
      </c>
      <c r="G40" s="15">
        <v>45534</v>
      </c>
      <c r="H40" t="s">
        <v>883</v>
      </c>
      <c r="I40" s="11">
        <v>46206</v>
      </c>
      <c r="J40" t="s">
        <v>1011</v>
      </c>
    </row>
    <row r="41" spans="1:10" x14ac:dyDescent="0.25">
      <c r="A41" t="s">
        <v>1012</v>
      </c>
      <c r="B41" s="11">
        <v>45947</v>
      </c>
      <c r="C41" t="s">
        <v>973</v>
      </c>
      <c r="D41" t="s">
        <v>1013</v>
      </c>
      <c r="E41">
        <v>1</v>
      </c>
      <c r="F41" t="s">
        <v>66</v>
      </c>
      <c r="G41" s="15">
        <v>136984</v>
      </c>
      <c r="H41" t="s">
        <v>896</v>
      </c>
      <c r="I41" s="11">
        <v>46219</v>
      </c>
      <c r="J41" t="s">
        <v>1014</v>
      </c>
    </row>
    <row r="42" spans="1:10" x14ac:dyDescent="0.25">
      <c r="A42" t="s">
        <v>1015</v>
      </c>
      <c r="B42" s="11">
        <v>45732</v>
      </c>
      <c r="C42" t="s">
        <v>914</v>
      </c>
      <c r="D42" t="s">
        <v>1016</v>
      </c>
      <c r="E42">
        <v>3</v>
      </c>
      <c r="F42" t="s">
        <v>61</v>
      </c>
      <c r="G42" s="15">
        <v>145827</v>
      </c>
      <c r="H42" t="s">
        <v>908</v>
      </c>
      <c r="I42" s="11">
        <v>46215</v>
      </c>
      <c r="J42" t="s">
        <v>1017</v>
      </c>
    </row>
    <row r="43" spans="1:10" x14ac:dyDescent="0.25">
      <c r="A43" t="s">
        <v>1018</v>
      </c>
      <c r="B43" s="11">
        <v>45792</v>
      </c>
      <c r="C43" t="s">
        <v>914</v>
      </c>
      <c r="D43" t="s">
        <v>1019</v>
      </c>
      <c r="E43">
        <v>4</v>
      </c>
      <c r="F43" t="s">
        <v>61</v>
      </c>
      <c r="G43" s="15">
        <v>392553</v>
      </c>
      <c r="H43" t="s">
        <v>896</v>
      </c>
      <c r="I43" s="11">
        <v>46214</v>
      </c>
      <c r="J43" t="s">
        <v>1020</v>
      </c>
    </row>
    <row r="44" spans="1:10" x14ac:dyDescent="0.25">
      <c r="A44" t="s">
        <v>1021</v>
      </c>
      <c r="B44" s="11">
        <v>46143</v>
      </c>
      <c r="C44" t="s">
        <v>903</v>
      </c>
      <c r="D44" t="s">
        <v>1022</v>
      </c>
      <c r="E44">
        <v>2</v>
      </c>
      <c r="F44" t="s">
        <v>56</v>
      </c>
      <c r="G44" s="15">
        <v>241682</v>
      </c>
      <c r="H44" t="s">
        <v>951</v>
      </c>
      <c r="I44" s="11">
        <v>46222</v>
      </c>
      <c r="J44" t="s">
        <v>1023</v>
      </c>
    </row>
    <row r="45" spans="1:10" x14ac:dyDescent="0.25">
      <c r="A45" t="s">
        <v>1024</v>
      </c>
      <c r="B45" s="11">
        <v>46058</v>
      </c>
      <c r="C45" t="s">
        <v>914</v>
      </c>
      <c r="D45" t="s">
        <v>1025</v>
      </c>
      <c r="E45">
        <v>2</v>
      </c>
      <c r="F45" t="s">
        <v>74</v>
      </c>
      <c r="G45" s="15">
        <v>133074</v>
      </c>
      <c r="H45" t="s">
        <v>908</v>
      </c>
      <c r="I45" s="11">
        <v>46224</v>
      </c>
      <c r="J45" t="s">
        <v>1026</v>
      </c>
    </row>
    <row r="46" spans="1:10" x14ac:dyDescent="0.25">
      <c r="A46" t="s">
        <v>1027</v>
      </c>
      <c r="B46" s="11">
        <v>46201</v>
      </c>
      <c r="C46" t="s">
        <v>930</v>
      </c>
      <c r="D46" t="s">
        <v>1028</v>
      </c>
      <c r="E46">
        <v>2</v>
      </c>
      <c r="F46" t="s">
        <v>66</v>
      </c>
      <c r="G46" s="15">
        <v>237461</v>
      </c>
      <c r="H46" t="s">
        <v>920</v>
      </c>
      <c r="I46" s="11">
        <v>46208</v>
      </c>
      <c r="J46" t="s">
        <v>1029</v>
      </c>
    </row>
    <row r="47" spans="1:10" x14ac:dyDescent="0.25">
      <c r="A47" t="s">
        <v>1030</v>
      </c>
      <c r="B47" s="11">
        <v>45768</v>
      </c>
      <c r="C47" t="s">
        <v>899</v>
      </c>
      <c r="D47" t="s">
        <v>1031</v>
      </c>
      <c r="E47">
        <v>4</v>
      </c>
      <c r="F47" t="s">
        <v>66</v>
      </c>
      <c r="G47" s="15">
        <v>438334</v>
      </c>
      <c r="H47" t="s">
        <v>896</v>
      </c>
      <c r="I47" s="11">
        <v>46215</v>
      </c>
      <c r="J47" t="s">
        <v>1032</v>
      </c>
    </row>
    <row r="48" spans="1:10" x14ac:dyDescent="0.25">
      <c r="A48" t="s">
        <v>1033</v>
      </c>
      <c r="B48" s="11">
        <v>46073</v>
      </c>
      <c r="C48" t="s">
        <v>960</v>
      </c>
      <c r="D48" t="s">
        <v>1034</v>
      </c>
      <c r="E48">
        <v>3</v>
      </c>
      <c r="F48" t="s">
        <v>66</v>
      </c>
      <c r="G48" s="15">
        <v>362590</v>
      </c>
      <c r="H48" t="s">
        <v>924</v>
      </c>
      <c r="I48" s="11">
        <v>46202</v>
      </c>
      <c r="J48" t="s">
        <v>1035</v>
      </c>
    </row>
    <row r="49" spans="1:10" x14ac:dyDescent="0.25">
      <c r="A49" t="s">
        <v>1036</v>
      </c>
      <c r="B49" s="11">
        <v>46063</v>
      </c>
      <c r="C49" t="s">
        <v>914</v>
      </c>
      <c r="D49" t="s">
        <v>1037</v>
      </c>
      <c r="E49">
        <v>1</v>
      </c>
      <c r="F49" t="s">
        <v>66</v>
      </c>
      <c r="G49" s="15">
        <v>24844</v>
      </c>
      <c r="H49" t="s">
        <v>896</v>
      </c>
      <c r="I49" s="11">
        <v>46224</v>
      </c>
      <c r="J49" t="s">
        <v>1038</v>
      </c>
    </row>
    <row r="50" spans="1:10" x14ac:dyDescent="0.25">
      <c r="A50" t="s">
        <v>1039</v>
      </c>
      <c r="B50" s="11">
        <v>45701</v>
      </c>
      <c r="C50" t="s">
        <v>894</v>
      </c>
      <c r="D50" t="s">
        <v>1040</v>
      </c>
      <c r="E50">
        <v>2</v>
      </c>
      <c r="F50" t="s">
        <v>61</v>
      </c>
      <c r="G50" s="15">
        <v>32967</v>
      </c>
      <c r="H50" t="s">
        <v>883</v>
      </c>
      <c r="I50" s="11">
        <v>46204</v>
      </c>
      <c r="J50" t="s">
        <v>1041</v>
      </c>
    </row>
    <row r="51" spans="1:10" x14ac:dyDescent="0.25">
      <c r="A51" t="s">
        <v>1042</v>
      </c>
      <c r="B51" s="11">
        <v>45742</v>
      </c>
      <c r="C51" t="s">
        <v>960</v>
      </c>
      <c r="D51" t="s">
        <v>1043</v>
      </c>
      <c r="E51">
        <v>3</v>
      </c>
      <c r="F51" t="s">
        <v>84</v>
      </c>
      <c r="G51" s="15">
        <v>66991</v>
      </c>
      <c r="H51" t="s">
        <v>896</v>
      </c>
      <c r="I51" s="11">
        <v>46217</v>
      </c>
      <c r="J51" t="s">
        <v>1044</v>
      </c>
    </row>
    <row r="52" spans="1:10" x14ac:dyDescent="0.25">
      <c r="A52" t="s">
        <v>1045</v>
      </c>
      <c r="B52" s="11">
        <v>45795</v>
      </c>
      <c r="C52" t="s">
        <v>894</v>
      </c>
      <c r="D52" t="s">
        <v>1046</v>
      </c>
      <c r="E52">
        <v>2</v>
      </c>
      <c r="F52" t="s">
        <v>84</v>
      </c>
      <c r="G52" s="15">
        <v>113771</v>
      </c>
      <c r="H52" t="s">
        <v>951</v>
      </c>
      <c r="I52" s="11">
        <v>46221</v>
      </c>
      <c r="J52" t="s">
        <v>1047</v>
      </c>
    </row>
    <row r="53" spans="1:10" x14ac:dyDescent="0.25">
      <c r="A53" t="s">
        <v>1048</v>
      </c>
      <c r="B53" s="11">
        <v>45599</v>
      </c>
      <c r="C53" t="s">
        <v>899</v>
      </c>
      <c r="D53" t="s">
        <v>1049</v>
      </c>
      <c r="E53">
        <v>4</v>
      </c>
      <c r="F53" t="s">
        <v>61</v>
      </c>
      <c r="G53" s="15">
        <v>295428</v>
      </c>
      <c r="H53" t="s">
        <v>883</v>
      </c>
      <c r="I53" s="11">
        <v>46216</v>
      </c>
      <c r="J53" t="s">
        <v>1050</v>
      </c>
    </row>
    <row r="54" spans="1:10" x14ac:dyDescent="0.25">
      <c r="A54" t="s">
        <v>1051</v>
      </c>
      <c r="B54" s="11">
        <v>45931</v>
      </c>
      <c r="C54" t="s">
        <v>914</v>
      </c>
      <c r="D54" t="s">
        <v>1052</v>
      </c>
      <c r="E54">
        <v>1</v>
      </c>
      <c r="F54" t="s">
        <v>74</v>
      </c>
      <c r="G54" s="15">
        <v>85042</v>
      </c>
      <c r="H54" t="s">
        <v>924</v>
      </c>
      <c r="I54" s="11">
        <v>46209</v>
      </c>
      <c r="J54" t="s">
        <v>1053</v>
      </c>
    </row>
    <row r="55" spans="1:10" x14ac:dyDescent="0.25">
      <c r="A55" t="s">
        <v>1054</v>
      </c>
      <c r="B55" s="11">
        <v>45599</v>
      </c>
      <c r="C55" t="s">
        <v>570</v>
      </c>
      <c r="D55" t="s">
        <v>1055</v>
      </c>
      <c r="E55">
        <v>1</v>
      </c>
      <c r="F55" t="s">
        <v>84</v>
      </c>
      <c r="G55" s="15">
        <v>17249</v>
      </c>
      <c r="H55" t="s">
        <v>924</v>
      </c>
      <c r="I55" s="11">
        <v>46229</v>
      </c>
      <c r="J55" t="s">
        <v>1056</v>
      </c>
    </row>
    <row r="56" spans="1:10" x14ac:dyDescent="0.25">
      <c r="A56" t="s">
        <v>1057</v>
      </c>
      <c r="B56" s="11">
        <v>45790</v>
      </c>
      <c r="C56" t="s">
        <v>876</v>
      </c>
      <c r="D56" t="s">
        <v>1058</v>
      </c>
      <c r="E56">
        <v>1</v>
      </c>
      <c r="F56" t="s">
        <v>84</v>
      </c>
      <c r="G56" s="15">
        <v>199231</v>
      </c>
      <c r="H56" t="s">
        <v>878</v>
      </c>
      <c r="I56" s="11">
        <v>46229</v>
      </c>
      <c r="J56" t="s">
        <v>1059</v>
      </c>
    </row>
    <row r="57" spans="1:10" x14ac:dyDescent="0.25">
      <c r="A57" t="s">
        <v>1060</v>
      </c>
      <c r="B57" s="11">
        <v>45784</v>
      </c>
      <c r="C57" t="s">
        <v>930</v>
      </c>
      <c r="D57" t="s">
        <v>1061</v>
      </c>
      <c r="E57">
        <v>2</v>
      </c>
      <c r="F57" t="s">
        <v>74</v>
      </c>
      <c r="G57" s="15">
        <v>362221</v>
      </c>
      <c r="H57" t="s">
        <v>883</v>
      </c>
      <c r="I57" s="11">
        <v>46203</v>
      </c>
      <c r="J57" t="s">
        <v>1062</v>
      </c>
    </row>
    <row r="58" spans="1:10" x14ac:dyDescent="0.25">
      <c r="A58" t="s">
        <v>1063</v>
      </c>
      <c r="B58" s="11">
        <v>45916</v>
      </c>
      <c r="C58" t="s">
        <v>960</v>
      </c>
      <c r="D58" t="s">
        <v>1064</v>
      </c>
      <c r="E58">
        <v>5</v>
      </c>
      <c r="F58" t="s">
        <v>74</v>
      </c>
      <c r="G58" s="15">
        <v>381593</v>
      </c>
      <c r="H58" t="s">
        <v>896</v>
      </c>
      <c r="I58" s="11">
        <v>46202</v>
      </c>
      <c r="J58" t="s">
        <v>1065</v>
      </c>
    </row>
    <row r="59" spans="1:10" x14ac:dyDescent="0.25">
      <c r="A59" t="s">
        <v>1066</v>
      </c>
      <c r="B59" s="11">
        <v>45545</v>
      </c>
      <c r="C59" t="s">
        <v>960</v>
      </c>
      <c r="D59" t="s">
        <v>1067</v>
      </c>
      <c r="E59">
        <v>2</v>
      </c>
      <c r="F59" t="s">
        <v>56</v>
      </c>
      <c r="G59" s="15">
        <v>192103</v>
      </c>
      <c r="H59" t="s">
        <v>891</v>
      </c>
      <c r="I59" s="11">
        <v>46231</v>
      </c>
      <c r="J59" t="s">
        <v>1068</v>
      </c>
    </row>
    <row r="60" spans="1:10" x14ac:dyDescent="0.25">
      <c r="A60" t="s">
        <v>1069</v>
      </c>
      <c r="B60" s="11">
        <v>45648</v>
      </c>
      <c r="C60" t="s">
        <v>949</v>
      </c>
      <c r="D60" t="s">
        <v>1070</v>
      </c>
      <c r="E60">
        <v>3</v>
      </c>
      <c r="F60" t="s">
        <v>74</v>
      </c>
      <c r="G60" s="15">
        <v>224099</v>
      </c>
      <c r="H60" t="s">
        <v>896</v>
      </c>
      <c r="I60" s="11">
        <v>46206</v>
      </c>
      <c r="J60" t="s">
        <v>1071</v>
      </c>
    </row>
    <row r="61" spans="1:10" x14ac:dyDescent="0.25">
      <c r="A61" t="s">
        <v>1072</v>
      </c>
      <c r="B61" s="11">
        <v>45939</v>
      </c>
      <c r="C61" t="s">
        <v>949</v>
      </c>
      <c r="D61" t="s">
        <v>1073</v>
      </c>
      <c r="E61">
        <v>5</v>
      </c>
      <c r="F61" t="s">
        <v>56</v>
      </c>
      <c r="G61" s="15">
        <v>190838</v>
      </c>
      <c r="H61" t="s">
        <v>924</v>
      </c>
      <c r="I61" s="11">
        <v>46223</v>
      </c>
      <c r="J61" t="s">
        <v>1074</v>
      </c>
    </row>
    <row r="62" spans="1:10" x14ac:dyDescent="0.25">
      <c r="A62" t="s">
        <v>1075</v>
      </c>
      <c r="B62" s="11">
        <v>45896</v>
      </c>
      <c r="C62" t="s">
        <v>973</v>
      </c>
      <c r="D62" t="s">
        <v>1076</v>
      </c>
      <c r="E62">
        <v>2</v>
      </c>
      <c r="F62" t="s">
        <v>66</v>
      </c>
      <c r="G62" s="15">
        <v>57258</v>
      </c>
      <c r="H62" t="s">
        <v>920</v>
      </c>
      <c r="I62" s="11">
        <v>46205</v>
      </c>
      <c r="J62" t="s">
        <v>1077</v>
      </c>
    </row>
    <row r="63" spans="1:10" x14ac:dyDescent="0.25">
      <c r="A63" t="s">
        <v>1078</v>
      </c>
      <c r="B63" s="11">
        <v>45665</v>
      </c>
      <c r="C63" t="s">
        <v>118</v>
      </c>
      <c r="D63" t="s">
        <v>1079</v>
      </c>
      <c r="E63">
        <v>2</v>
      </c>
      <c r="F63" t="s">
        <v>84</v>
      </c>
      <c r="G63" s="15">
        <v>337149</v>
      </c>
      <c r="H63" t="s">
        <v>878</v>
      </c>
      <c r="I63" s="11">
        <v>46230</v>
      </c>
      <c r="J63" t="s">
        <v>1080</v>
      </c>
    </row>
    <row r="64" spans="1:10" x14ac:dyDescent="0.25">
      <c r="A64" t="s">
        <v>1081</v>
      </c>
      <c r="B64" s="11">
        <v>46042</v>
      </c>
      <c r="C64" t="s">
        <v>876</v>
      </c>
      <c r="D64" t="s">
        <v>1082</v>
      </c>
      <c r="E64">
        <v>2</v>
      </c>
      <c r="F64" t="s">
        <v>74</v>
      </c>
      <c r="G64" s="15">
        <v>215025</v>
      </c>
      <c r="H64" t="s">
        <v>916</v>
      </c>
      <c r="I64" s="11">
        <v>46230</v>
      </c>
      <c r="J64" t="s">
        <v>1083</v>
      </c>
    </row>
    <row r="65" spans="1:10" x14ac:dyDescent="0.25">
      <c r="A65" t="s">
        <v>1084</v>
      </c>
      <c r="B65" s="11">
        <v>45977</v>
      </c>
      <c r="C65" t="s">
        <v>973</v>
      </c>
      <c r="D65" t="s">
        <v>1085</v>
      </c>
      <c r="E65">
        <v>5</v>
      </c>
      <c r="F65" t="s">
        <v>66</v>
      </c>
      <c r="G65" s="15">
        <v>37814</v>
      </c>
      <c r="H65" t="s">
        <v>887</v>
      </c>
      <c r="I65" s="11">
        <v>46217</v>
      </c>
      <c r="J65" t="s">
        <v>1086</v>
      </c>
    </row>
    <row r="66" spans="1:10" x14ac:dyDescent="0.25">
      <c r="A66" t="s">
        <v>1087</v>
      </c>
      <c r="B66" s="11">
        <v>45919</v>
      </c>
      <c r="C66" t="s">
        <v>899</v>
      </c>
      <c r="D66" t="s">
        <v>1088</v>
      </c>
      <c r="E66">
        <v>5</v>
      </c>
      <c r="F66" t="s">
        <v>66</v>
      </c>
      <c r="G66" s="15">
        <v>223673</v>
      </c>
      <c r="H66" t="s">
        <v>896</v>
      </c>
      <c r="I66" s="11">
        <v>46221</v>
      </c>
      <c r="J66" t="s">
        <v>1089</v>
      </c>
    </row>
    <row r="67" spans="1:10" x14ac:dyDescent="0.25">
      <c r="A67" t="s">
        <v>1090</v>
      </c>
      <c r="B67" s="11">
        <v>46020</v>
      </c>
      <c r="C67" t="s">
        <v>914</v>
      </c>
      <c r="D67" t="s">
        <v>1091</v>
      </c>
      <c r="E67">
        <v>4</v>
      </c>
      <c r="F67" t="s">
        <v>84</v>
      </c>
      <c r="G67" s="15">
        <v>344664</v>
      </c>
      <c r="H67" t="s">
        <v>951</v>
      </c>
      <c r="I67" s="11">
        <v>46214</v>
      </c>
      <c r="J67" t="s">
        <v>1092</v>
      </c>
    </row>
    <row r="68" spans="1:10" x14ac:dyDescent="0.25">
      <c r="A68" t="s">
        <v>1093</v>
      </c>
      <c r="B68" s="11">
        <v>46140</v>
      </c>
      <c r="C68" t="s">
        <v>881</v>
      </c>
      <c r="D68" t="s">
        <v>1094</v>
      </c>
      <c r="E68">
        <v>2</v>
      </c>
      <c r="F68" t="s">
        <v>74</v>
      </c>
      <c r="G68" s="15">
        <v>269318</v>
      </c>
      <c r="H68" t="s">
        <v>924</v>
      </c>
      <c r="I68" s="11">
        <v>46222</v>
      </c>
      <c r="J68" t="s">
        <v>1095</v>
      </c>
    </row>
    <row r="69" spans="1:10" x14ac:dyDescent="0.25">
      <c r="A69" t="s">
        <v>1096</v>
      </c>
      <c r="B69" s="11">
        <v>45680</v>
      </c>
      <c r="C69" t="s">
        <v>899</v>
      </c>
      <c r="D69" t="s">
        <v>1097</v>
      </c>
      <c r="E69">
        <v>3</v>
      </c>
      <c r="F69" t="s">
        <v>84</v>
      </c>
      <c r="G69" s="15">
        <v>318061</v>
      </c>
      <c r="H69" t="s">
        <v>896</v>
      </c>
      <c r="I69" s="11">
        <v>46217</v>
      </c>
      <c r="J69" t="s">
        <v>1098</v>
      </c>
    </row>
    <row r="70" spans="1:10" x14ac:dyDescent="0.25">
      <c r="A70" t="s">
        <v>1099</v>
      </c>
      <c r="B70" s="11">
        <v>45721</v>
      </c>
      <c r="C70" t="s">
        <v>570</v>
      </c>
      <c r="D70" t="s">
        <v>1100</v>
      </c>
      <c r="E70">
        <v>4</v>
      </c>
      <c r="F70" t="s">
        <v>84</v>
      </c>
      <c r="G70" s="15">
        <v>437479</v>
      </c>
      <c r="H70" t="s">
        <v>896</v>
      </c>
      <c r="I70" s="11">
        <v>46223</v>
      </c>
      <c r="J70" t="s">
        <v>1101</v>
      </c>
    </row>
    <row r="71" spans="1:10" x14ac:dyDescent="0.25">
      <c r="A71" t="s">
        <v>1102</v>
      </c>
      <c r="B71" s="11">
        <v>45843</v>
      </c>
      <c r="C71" t="s">
        <v>914</v>
      </c>
      <c r="D71" t="s">
        <v>1103</v>
      </c>
      <c r="E71">
        <v>3</v>
      </c>
      <c r="F71" t="s">
        <v>61</v>
      </c>
      <c r="G71" s="15">
        <v>183427</v>
      </c>
      <c r="H71" t="s">
        <v>908</v>
      </c>
      <c r="I71" s="11">
        <v>46217</v>
      </c>
      <c r="J71" t="s">
        <v>1104</v>
      </c>
    </row>
    <row r="72" spans="1:10" x14ac:dyDescent="0.25">
      <c r="A72" t="s">
        <v>1105</v>
      </c>
      <c r="B72" s="11">
        <v>45940</v>
      </c>
      <c r="C72" t="s">
        <v>960</v>
      </c>
      <c r="D72" t="s">
        <v>1106</v>
      </c>
      <c r="E72">
        <v>5</v>
      </c>
      <c r="F72" t="s">
        <v>66</v>
      </c>
      <c r="G72" s="15">
        <v>328836</v>
      </c>
      <c r="H72" t="s">
        <v>920</v>
      </c>
      <c r="I72" s="11">
        <v>46217</v>
      </c>
      <c r="J72" t="s">
        <v>1107</v>
      </c>
    </row>
    <row r="73" spans="1:10" x14ac:dyDescent="0.25">
      <c r="A73" t="s">
        <v>1108</v>
      </c>
      <c r="B73" s="11">
        <v>45992</v>
      </c>
      <c r="C73" t="s">
        <v>899</v>
      </c>
      <c r="D73" t="s">
        <v>1109</v>
      </c>
      <c r="E73">
        <v>1</v>
      </c>
      <c r="F73" t="s">
        <v>74</v>
      </c>
      <c r="G73" s="15">
        <v>100062</v>
      </c>
      <c r="H73" t="s">
        <v>916</v>
      </c>
      <c r="I73" s="11">
        <v>46208</v>
      </c>
      <c r="J73" t="s">
        <v>1110</v>
      </c>
    </row>
    <row r="74" spans="1:10" x14ac:dyDescent="0.25">
      <c r="A74" t="s">
        <v>1111</v>
      </c>
      <c r="B74" s="11">
        <v>45875</v>
      </c>
      <c r="C74" t="s">
        <v>881</v>
      </c>
      <c r="D74" t="s">
        <v>1112</v>
      </c>
      <c r="E74">
        <v>3</v>
      </c>
      <c r="F74" t="s">
        <v>74</v>
      </c>
      <c r="G74" s="15">
        <v>283098</v>
      </c>
      <c r="H74" t="s">
        <v>896</v>
      </c>
      <c r="I74" s="11">
        <v>46230</v>
      </c>
      <c r="J74" t="s">
        <v>1113</v>
      </c>
    </row>
    <row r="75" spans="1:10" x14ac:dyDescent="0.25">
      <c r="A75" t="s">
        <v>1114</v>
      </c>
      <c r="B75" s="11">
        <v>46194</v>
      </c>
      <c r="C75" t="s">
        <v>881</v>
      </c>
      <c r="D75" t="s">
        <v>1115</v>
      </c>
      <c r="E75">
        <v>5</v>
      </c>
      <c r="F75" t="s">
        <v>66</v>
      </c>
      <c r="G75" s="15">
        <v>452308</v>
      </c>
      <c r="H75" t="s">
        <v>916</v>
      </c>
      <c r="I75" s="11">
        <v>46205</v>
      </c>
      <c r="J75" t="s">
        <v>1116</v>
      </c>
    </row>
    <row r="76" spans="1:10" x14ac:dyDescent="0.25">
      <c r="A76" t="s">
        <v>1117</v>
      </c>
      <c r="B76" s="11">
        <v>45508</v>
      </c>
      <c r="C76" t="s">
        <v>973</v>
      </c>
      <c r="D76" t="s">
        <v>1118</v>
      </c>
      <c r="E76">
        <v>5</v>
      </c>
      <c r="F76" t="s">
        <v>66</v>
      </c>
      <c r="G76" s="15">
        <v>78628</v>
      </c>
      <c r="H76" t="s">
        <v>896</v>
      </c>
      <c r="I76" s="11">
        <v>46211</v>
      </c>
      <c r="J76" t="s">
        <v>1119</v>
      </c>
    </row>
    <row r="77" spans="1:10" x14ac:dyDescent="0.25">
      <c r="A77" t="s">
        <v>1120</v>
      </c>
      <c r="B77" s="11">
        <v>45741</v>
      </c>
      <c r="C77" t="s">
        <v>876</v>
      </c>
      <c r="D77" t="s">
        <v>1121</v>
      </c>
      <c r="E77">
        <v>4</v>
      </c>
      <c r="F77" t="s">
        <v>56</v>
      </c>
      <c r="G77" s="15">
        <v>216836</v>
      </c>
      <c r="H77" t="s">
        <v>908</v>
      </c>
      <c r="I77" s="11">
        <v>46206</v>
      </c>
      <c r="J77" t="s">
        <v>1122</v>
      </c>
    </row>
    <row r="78" spans="1:10" x14ac:dyDescent="0.25">
      <c r="A78" t="s">
        <v>1123</v>
      </c>
      <c r="B78" s="11">
        <v>45841</v>
      </c>
      <c r="C78" t="s">
        <v>881</v>
      </c>
      <c r="D78" t="s">
        <v>1124</v>
      </c>
      <c r="E78">
        <v>5</v>
      </c>
      <c r="F78" t="s">
        <v>66</v>
      </c>
      <c r="G78" s="15">
        <v>82242</v>
      </c>
      <c r="H78" t="s">
        <v>908</v>
      </c>
      <c r="I78" s="11">
        <v>46222</v>
      </c>
      <c r="J78" t="s">
        <v>1125</v>
      </c>
    </row>
    <row r="79" spans="1:10" x14ac:dyDescent="0.25">
      <c r="A79" t="s">
        <v>1126</v>
      </c>
      <c r="B79" s="11">
        <v>45864</v>
      </c>
      <c r="C79" t="s">
        <v>949</v>
      </c>
      <c r="D79" t="s">
        <v>1127</v>
      </c>
      <c r="E79">
        <v>2</v>
      </c>
      <c r="F79" t="s">
        <v>61</v>
      </c>
      <c r="G79" s="15">
        <v>64585</v>
      </c>
      <c r="H79" t="s">
        <v>887</v>
      </c>
      <c r="I79" s="11">
        <v>46215</v>
      </c>
      <c r="J79" t="s">
        <v>1128</v>
      </c>
    </row>
    <row r="80" spans="1:10" x14ac:dyDescent="0.25">
      <c r="A80" t="s">
        <v>1129</v>
      </c>
      <c r="B80" s="11">
        <v>46222</v>
      </c>
      <c r="C80" t="s">
        <v>960</v>
      </c>
      <c r="D80" t="s">
        <v>1130</v>
      </c>
      <c r="E80">
        <v>1</v>
      </c>
      <c r="F80" t="s">
        <v>66</v>
      </c>
      <c r="G80" s="15">
        <v>467325</v>
      </c>
      <c r="H80" t="s">
        <v>924</v>
      </c>
      <c r="I80" s="11">
        <v>46202</v>
      </c>
      <c r="J80" t="s">
        <v>1131</v>
      </c>
    </row>
    <row r="81" spans="1:10" x14ac:dyDescent="0.25">
      <c r="A81" t="s">
        <v>1132</v>
      </c>
      <c r="B81" s="11">
        <v>46218</v>
      </c>
      <c r="C81" t="s">
        <v>903</v>
      </c>
      <c r="D81" t="s">
        <v>1133</v>
      </c>
      <c r="E81">
        <v>5</v>
      </c>
      <c r="F81" t="s">
        <v>74</v>
      </c>
      <c r="G81" s="15">
        <v>14633</v>
      </c>
      <c r="H81" t="s">
        <v>908</v>
      </c>
      <c r="I81" s="11">
        <v>46225</v>
      </c>
      <c r="J81" t="s">
        <v>1134</v>
      </c>
    </row>
    <row r="82" spans="1:10" x14ac:dyDescent="0.25">
      <c r="A82" t="s">
        <v>1135</v>
      </c>
      <c r="B82" s="11">
        <v>46214</v>
      </c>
      <c r="C82" t="s">
        <v>930</v>
      </c>
      <c r="D82" t="s">
        <v>1136</v>
      </c>
      <c r="E82">
        <v>2</v>
      </c>
      <c r="F82" t="s">
        <v>61</v>
      </c>
      <c r="G82" s="15">
        <v>231182</v>
      </c>
      <c r="H82" t="s">
        <v>951</v>
      </c>
      <c r="I82" s="11">
        <v>46228</v>
      </c>
      <c r="J82" t="s">
        <v>1137</v>
      </c>
    </row>
    <row r="83" spans="1:10" x14ac:dyDescent="0.25">
      <c r="A83" t="s">
        <v>1138</v>
      </c>
      <c r="B83" s="11">
        <v>45859</v>
      </c>
      <c r="C83" t="s">
        <v>881</v>
      </c>
      <c r="D83" t="s">
        <v>1139</v>
      </c>
      <c r="E83">
        <v>3</v>
      </c>
      <c r="F83" t="s">
        <v>84</v>
      </c>
      <c r="G83" s="15">
        <v>45031</v>
      </c>
      <c r="H83" t="s">
        <v>891</v>
      </c>
      <c r="I83" s="11">
        <v>46219</v>
      </c>
      <c r="J83" t="s">
        <v>1140</v>
      </c>
    </row>
    <row r="84" spans="1:10" x14ac:dyDescent="0.25">
      <c r="A84" t="s">
        <v>1141</v>
      </c>
      <c r="B84" s="11">
        <v>45992</v>
      </c>
      <c r="C84" t="s">
        <v>903</v>
      </c>
      <c r="D84" t="s">
        <v>1142</v>
      </c>
      <c r="E84">
        <v>1</v>
      </c>
      <c r="F84" t="s">
        <v>56</v>
      </c>
      <c r="G84" s="15">
        <v>362277</v>
      </c>
      <c r="H84" t="s">
        <v>896</v>
      </c>
      <c r="I84" s="11">
        <v>46208</v>
      </c>
      <c r="J84" t="s">
        <v>1143</v>
      </c>
    </row>
    <row r="85" spans="1:10" x14ac:dyDescent="0.25">
      <c r="A85" t="s">
        <v>1144</v>
      </c>
      <c r="B85" s="11">
        <v>46072</v>
      </c>
      <c r="C85" t="s">
        <v>118</v>
      </c>
      <c r="D85" t="s">
        <v>1145</v>
      </c>
      <c r="E85">
        <v>3</v>
      </c>
      <c r="F85" t="s">
        <v>61</v>
      </c>
      <c r="G85" s="15">
        <v>214390</v>
      </c>
      <c r="H85" t="s">
        <v>924</v>
      </c>
      <c r="I85" s="11">
        <v>46223</v>
      </c>
      <c r="J85" t="s">
        <v>1146</v>
      </c>
    </row>
    <row r="86" spans="1:10" x14ac:dyDescent="0.25">
      <c r="A86" t="s">
        <v>1147</v>
      </c>
      <c r="B86" s="11">
        <v>45677</v>
      </c>
      <c r="C86" t="s">
        <v>914</v>
      </c>
      <c r="D86" t="s">
        <v>1148</v>
      </c>
      <c r="E86">
        <v>5</v>
      </c>
      <c r="F86" t="s">
        <v>66</v>
      </c>
      <c r="G86" s="15">
        <v>163760</v>
      </c>
      <c r="H86" t="s">
        <v>908</v>
      </c>
      <c r="I86" s="11">
        <v>46227</v>
      </c>
      <c r="J86" t="s">
        <v>1149</v>
      </c>
    </row>
    <row r="87" spans="1:10" x14ac:dyDescent="0.25">
      <c r="A87" t="s">
        <v>1150</v>
      </c>
      <c r="B87" s="11">
        <v>45673</v>
      </c>
      <c r="C87" t="s">
        <v>960</v>
      </c>
      <c r="D87" t="s">
        <v>1151</v>
      </c>
      <c r="E87">
        <v>2</v>
      </c>
      <c r="F87" t="s">
        <v>56</v>
      </c>
      <c r="G87" s="15">
        <v>465736</v>
      </c>
      <c r="H87" t="s">
        <v>908</v>
      </c>
      <c r="I87" s="11">
        <v>46229</v>
      </c>
      <c r="J87" t="s">
        <v>1152</v>
      </c>
    </row>
    <row r="88" spans="1:10" x14ac:dyDescent="0.25">
      <c r="A88" t="s">
        <v>1153</v>
      </c>
      <c r="B88" s="11">
        <v>45977</v>
      </c>
      <c r="C88" t="s">
        <v>960</v>
      </c>
      <c r="D88" t="s">
        <v>1154</v>
      </c>
      <c r="E88">
        <v>4</v>
      </c>
      <c r="F88" t="s">
        <v>74</v>
      </c>
      <c r="G88" s="15">
        <v>315448</v>
      </c>
      <c r="H88" t="s">
        <v>920</v>
      </c>
      <c r="I88" s="11">
        <v>46204</v>
      </c>
      <c r="J88" t="s">
        <v>1155</v>
      </c>
    </row>
    <row r="89" spans="1:10" x14ac:dyDescent="0.25">
      <c r="A89" t="s">
        <v>1156</v>
      </c>
      <c r="B89" s="11">
        <v>45525</v>
      </c>
      <c r="C89" t="s">
        <v>118</v>
      </c>
      <c r="D89" t="s">
        <v>1157</v>
      </c>
      <c r="E89">
        <v>2</v>
      </c>
      <c r="F89" t="s">
        <v>74</v>
      </c>
      <c r="G89" s="15">
        <v>408933</v>
      </c>
      <c r="H89" t="s">
        <v>916</v>
      </c>
      <c r="I89" s="11">
        <v>46229</v>
      </c>
      <c r="J89" t="s">
        <v>1158</v>
      </c>
    </row>
    <row r="90" spans="1:10" x14ac:dyDescent="0.25">
      <c r="A90" t="s">
        <v>1159</v>
      </c>
      <c r="B90" s="11">
        <v>45804</v>
      </c>
      <c r="C90" t="s">
        <v>570</v>
      </c>
      <c r="D90" t="s">
        <v>1160</v>
      </c>
      <c r="E90">
        <v>2</v>
      </c>
      <c r="F90" t="s">
        <v>61</v>
      </c>
      <c r="G90" s="15">
        <v>433159</v>
      </c>
      <c r="H90" t="s">
        <v>891</v>
      </c>
      <c r="I90" s="11">
        <v>46225</v>
      </c>
      <c r="J90" t="s">
        <v>1161</v>
      </c>
    </row>
    <row r="91" spans="1:10" x14ac:dyDescent="0.25">
      <c r="A91" t="s">
        <v>1162</v>
      </c>
      <c r="B91" s="11">
        <v>45938</v>
      </c>
      <c r="C91" t="s">
        <v>930</v>
      </c>
      <c r="D91" t="s">
        <v>1163</v>
      </c>
      <c r="E91">
        <v>5</v>
      </c>
      <c r="F91" t="s">
        <v>66</v>
      </c>
      <c r="G91" s="15">
        <v>1687</v>
      </c>
      <c r="H91" t="s">
        <v>908</v>
      </c>
      <c r="I91" s="11">
        <v>46230</v>
      </c>
      <c r="J91" t="s">
        <v>1164</v>
      </c>
    </row>
    <row r="92" spans="1:10" x14ac:dyDescent="0.25">
      <c r="A92" t="s">
        <v>1165</v>
      </c>
      <c r="B92" s="11">
        <v>46172</v>
      </c>
      <c r="C92" t="s">
        <v>973</v>
      </c>
      <c r="D92" t="s">
        <v>1166</v>
      </c>
      <c r="E92">
        <v>5</v>
      </c>
      <c r="F92" t="s">
        <v>74</v>
      </c>
      <c r="G92" s="15">
        <v>466056</v>
      </c>
      <c r="H92" t="s">
        <v>920</v>
      </c>
      <c r="I92" s="11">
        <v>46208</v>
      </c>
      <c r="J92" t="s">
        <v>1167</v>
      </c>
    </row>
    <row r="93" spans="1:10" x14ac:dyDescent="0.25">
      <c r="A93" t="s">
        <v>1168</v>
      </c>
      <c r="B93" s="11">
        <v>46016</v>
      </c>
      <c r="C93" t="s">
        <v>118</v>
      </c>
      <c r="D93" t="s">
        <v>1169</v>
      </c>
      <c r="E93">
        <v>5</v>
      </c>
      <c r="F93" t="s">
        <v>84</v>
      </c>
      <c r="G93" s="15">
        <v>177931</v>
      </c>
      <c r="H93" t="s">
        <v>883</v>
      </c>
      <c r="I93" s="11">
        <v>46220</v>
      </c>
      <c r="J93" t="s">
        <v>1170</v>
      </c>
    </row>
    <row r="94" spans="1:10" x14ac:dyDescent="0.25">
      <c r="A94" t="s">
        <v>1171</v>
      </c>
      <c r="B94" s="11">
        <v>46188</v>
      </c>
      <c r="C94" t="s">
        <v>881</v>
      </c>
      <c r="D94" t="s">
        <v>1172</v>
      </c>
      <c r="E94">
        <v>1</v>
      </c>
      <c r="F94" t="s">
        <v>84</v>
      </c>
      <c r="G94" s="15">
        <v>427416</v>
      </c>
      <c r="H94" t="s">
        <v>908</v>
      </c>
      <c r="I94" s="11">
        <v>46227</v>
      </c>
      <c r="J94" t="s">
        <v>1173</v>
      </c>
    </row>
    <row r="95" spans="1:10" x14ac:dyDescent="0.25">
      <c r="A95" t="s">
        <v>1174</v>
      </c>
      <c r="B95" s="11">
        <v>45798</v>
      </c>
      <c r="C95" t="s">
        <v>930</v>
      </c>
      <c r="D95" t="s">
        <v>1175</v>
      </c>
      <c r="E95">
        <v>4</v>
      </c>
      <c r="F95" t="s">
        <v>61</v>
      </c>
      <c r="G95" s="15">
        <v>102100</v>
      </c>
      <c r="H95" t="s">
        <v>878</v>
      </c>
      <c r="I95" s="11">
        <v>46207</v>
      </c>
      <c r="J95" t="s">
        <v>1176</v>
      </c>
    </row>
    <row r="96" spans="1:10" x14ac:dyDescent="0.25">
      <c r="A96" t="s">
        <v>1177</v>
      </c>
      <c r="B96" s="11">
        <v>45921</v>
      </c>
      <c r="C96" t="s">
        <v>903</v>
      </c>
      <c r="D96" t="s">
        <v>1178</v>
      </c>
      <c r="E96">
        <v>2</v>
      </c>
      <c r="F96" t="s">
        <v>66</v>
      </c>
      <c r="G96" s="15">
        <v>64960</v>
      </c>
      <c r="H96" t="s">
        <v>920</v>
      </c>
      <c r="I96" s="11">
        <v>46210</v>
      </c>
      <c r="J96" t="s">
        <v>1179</v>
      </c>
    </row>
    <row r="97" spans="1:10" x14ac:dyDescent="0.25">
      <c r="A97" t="s">
        <v>1180</v>
      </c>
      <c r="B97" s="11">
        <v>46013</v>
      </c>
      <c r="C97" t="s">
        <v>960</v>
      </c>
      <c r="D97" t="s">
        <v>1181</v>
      </c>
      <c r="E97">
        <v>3</v>
      </c>
      <c r="F97" t="s">
        <v>66</v>
      </c>
      <c r="G97" s="15">
        <v>327601</v>
      </c>
      <c r="H97" t="s">
        <v>887</v>
      </c>
      <c r="I97" s="11">
        <v>46227</v>
      </c>
      <c r="J97" t="s">
        <v>1182</v>
      </c>
    </row>
    <row r="98" spans="1:10" x14ac:dyDescent="0.25">
      <c r="A98" t="s">
        <v>1183</v>
      </c>
      <c r="B98" s="11">
        <v>45963</v>
      </c>
      <c r="C98" t="s">
        <v>894</v>
      </c>
      <c r="D98" t="s">
        <v>1184</v>
      </c>
      <c r="E98">
        <v>1</v>
      </c>
      <c r="F98" t="s">
        <v>66</v>
      </c>
      <c r="G98" s="15">
        <v>201686</v>
      </c>
      <c r="H98" t="s">
        <v>896</v>
      </c>
      <c r="I98" s="11">
        <v>46206</v>
      </c>
      <c r="J98" t="s">
        <v>1185</v>
      </c>
    </row>
    <row r="99" spans="1:10" x14ac:dyDescent="0.25">
      <c r="A99" t="s">
        <v>1186</v>
      </c>
      <c r="B99" s="11">
        <v>45926</v>
      </c>
      <c r="C99" t="s">
        <v>570</v>
      </c>
      <c r="D99" t="s">
        <v>1187</v>
      </c>
      <c r="E99">
        <v>3</v>
      </c>
      <c r="F99" t="s">
        <v>84</v>
      </c>
      <c r="G99" s="15">
        <v>304490</v>
      </c>
      <c r="H99" t="s">
        <v>891</v>
      </c>
      <c r="I99" s="11">
        <v>46218</v>
      </c>
      <c r="J99" t="s">
        <v>1188</v>
      </c>
    </row>
    <row r="100" spans="1:10" x14ac:dyDescent="0.25">
      <c r="A100" t="s">
        <v>1189</v>
      </c>
      <c r="B100" s="11">
        <v>45709</v>
      </c>
      <c r="C100" t="s">
        <v>118</v>
      </c>
      <c r="D100" t="s">
        <v>1190</v>
      </c>
      <c r="E100">
        <v>2</v>
      </c>
      <c r="F100" t="s">
        <v>74</v>
      </c>
      <c r="G100" s="15">
        <v>117807</v>
      </c>
      <c r="H100" t="s">
        <v>883</v>
      </c>
      <c r="I100" s="11">
        <v>46208</v>
      </c>
      <c r="J100" t="s">
        <v>1191</v>
      </c>
    </row>
    <row r="101" spans="1:10" x14ac:dyDescent="0.25">
      <c r="A101" t="s">
        <v>1192</v>
      </c>
      <c r="B101" s="11">
        <v>46139</v>
      </c>
      <c r="C101" t="s">
        <v>903</v>
      </c>
      <c r="D101" t="s">
        <v>1193</v>
      </c>
      <c r="E101">
        <v>5</v>
      </c>
      <c r="F101" t="s">
        <v>61</v>
      </c>
      <c r="G101" s="15">
        <v>263154</v>
      </c>
      <c r="H101" t="s">
        <v>920</v>
      </c>
      <c r="I101" s="11">
        <v>46202</v>
      </c>
      <c r="J101" t="s">
        <v>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EA8D-0598-4E52-B765-F7CE122B9AE0}">
  <sheetPr codeName="Sheet6"/>
  <dimension ref="A1:J61"/>
  <sheetViews>
    <sheetView workbookViewId="0"/>
  </sheetViews>
  <sheetFormatPr defaultRowHeight="15" x14ac:dyDescent="0.25"/>
  <cols>
    <col min="1" max="10" width="16.7109375" customWidth="1"/>
  </cols>
  <sheetData>
    <row r="1" spans="1:10" x14ac:dyDescent="0.25">
      <c r="A1" s="9" t="s">
        <v>1195</v>
      </c>
      <c r="B1" s="9" t="s">
        <v>1196</v>
      </c>
      <c r="C1" s="9" t="s">
        <v>1197</v>
      </c>
      <c r="D1" s="9" t="s">
        <v>1198</v>
      </c>
      <c r="E1" s="9" t="s">
        <v>1199</v>
      </c>
      <c r="F1" s="9" t="s">
        <v>1200</v>
      </c>
      <c r="G1" s="9" t="s">
        <v>48</v>
      </c>
      <c r="H1" s="9" t="s">
        <v>1201</v>
      </c>
      <c r="I1" s="9" t="s">
        <v>1202</v>
      </c>
      <c r="J1" s="9" t="s">
        <v>1203</v>
      </c>
    </row>
    <row r="2" spans="1:10" x14ac:dyDescent="0.25">
      <c r="A2" t="s">
        <v>1204</v>
      </c>
      <c r="B2" t="s">
        <v>1205</v>
      </c>
      <c r="C2" t="s">
        <v>1206</v>
      </c>
      <c r="D2" t="s">
        <v>1207</v>
      </c>
      <c r="E2" s="11">
        <v>46254</v>
      </c>
      <c r="F2" s="11">
        <v>46277</v>
      </c>
      <c r="G2" t="s">
        <v>74</v>
      </c>
      <c r="H2">
        <v>19</v>
      </c>
      <c r="I2">
        <v>3</v>
      </c>
      <c r="J2" t="s">
        <v>1208</v>
      </c>
    </row>
    <row r="3" spans="1:10" x14ac:dyDescent="0.25">
      <c r="A3" t="s">
        <v>1209</v>
      </c>
      <c r="B3" t="s">
        <v>1210</v>
      </c>
      <c r="C3" t="s">
        <v>1211</v>
      </c>
      <c r="D3" t="s">
        <v>1212</v>
      </c>
      <c r="E3" s="11">
        <v>46486</v>
      </c>
      <c r="F3" s="11">
        <v>46495</v>
      </c>
      <c r="G3" t="s">
        <v>61</v>
      </c>
      <c r="H3">
        <v>17</v>
      </c>
      <c r="I3">
        <v>1</v>
      </c>
      <c r="J3" t="s">
        <v>1213</v>
      </c>
    </row>
    <row r="4" spans="1:10" x14ac:dyDescent="0.25">
      <c r="A4" t="s">
        <v>1214</v>
      </c>
      <c r="B4" t="s">
        <v>1205</v>
      </c>
      <c r="C4" t="s">
        <v>1215</v>
      </c>
      <c r="D4" t="s">
        <v>1216</v>
      </c>
      <c r="E4" s="11">
        <v>46361</v>
      </c>
      <c r="F4" s="11">
        <v>46370</v>
      </c>
      <c r="G4" t="s">
        <v>61</v>
      </c>
      <c r="H4">
        <v>8</v>
      </c>
      <c r="I4">
        <v>3</v>
      </c>
      <c r="J4" t="s">
        <v>1217</v>
      </c>
    </row>
    <row r="5" spans="1:10" x14ac:dyDescent="0.25">
      <c r="A5" t="s">
        <v>1218</v>
      </c>
      <c r="B5" t="s">
        <v>1219</v>
      </c>
      <c r="C5" t="s">
        <v>1220</v>
      </c>
      <c r="D5" t="s">
        <v>1221</v>
      </c>
      <c r="E5" s="11">
        <v>46306</v>
      </c>
      <c r="F5" s="11">
        <v>46324</v>
      </c>
      <c r="G5" t="s">
        <v>74</v>
      </c>
      <c r="H5">
        <v>13</v>
      </c>
      <c r="I5">
        <v>0</v>
      </c>
      <c r="J5" t="s">
        <v>1222</v>
      </c>
    </row>
    <row r="6" spans="1:10" x14ac:dyDescent="0.25">
      <c r="A6" t="s">
        <v>1223</v>
      </c>
      <c r="B6" t="s">
        <v>82</v>
      </c>
      <c r="C6" t="s">
        <v>1224</v>
      </c>
      <c r="D6" t="s">
        <v>1225</v>
      </c>
      <c r="E6" s="11">
        <v>46538</v>
      </c>
      <c r="F6" s="11">
        <v>46568</v>
      </c>
      <c r="G6" t="s">
        <v>84</v>
      </c>
      <c r="H6">
        <v>2</v>
      </c>
      <c r="I6">
        <v>1</v>
      </c>
      <c r="J6" t="s">
        <v>1226</v>
      </c>
    </row>
    <row r="7" spans="1:10" x14ac:dyDescent="0.25">
      <c r="A7" t="s">
        <v>1227</v>
      </c>
      <c r="B7" t="s">
        <v>82</v>
      </c>
      <c r="C7" t="s">
        <v>1228</v>
      </c>
      <c r="D7" t="s">
        <v>1212</v>
      </c>
      <c r="E7" s="11">
        <v>46465</v>
      </c>
      <c r="F7" s="11">
        <v>46470</v>
      </c>
      <c r="G7" t="s">
        <v>66</v>
      </c>
      <c r="H7">
        <v>10</v>
      </c>
      <c r="I7">
        <v>3</v>
      </c>
      <c r="J7" t="s">
        <v>1229</v>
      </c>
    </row>
    <row r="8" spans="1:10" x14ac:dyDescent="0.25">
      <c r="A8" t="s">
        <v>1230</v>
      </c>
      <c r="B8" t="s">
        <v>82</v>
      </c>
      <c r="C8" t="s">
        <v>1231</v>
      </c>
      <c r="D8" t="s">
        <v>1232</v>
      </c>
      <c r="E8" s="11">
        <v>46377</v>
      </c>
      <c r="F8" s="11">
        <v>46384</v>
      </c>
      <c r="G8" t="s">
        <v>61</v>
      </c>
      <c r="H8">
        <v>0</v>
      </c>
      <c r="I8">
        <v>1</v>
      </c>
      <c r="J8" t="s">
        <v>1233</v>
      </c>
    </row>
    <row r="9" spans="1:10" x14ac:dyDescent="0.25">
      <c r="A9" t="s">
        <v>1234</v>
      </c>
      <c r="B9" t="s">
        <v>82</v>
      </c>
      <c r="C9" t="s">
        <v>1235</v>
      </c>
      <c r="D9" t="s">
        <v>1232</v>
      </c>
      <c r="E9" s="11">
        <v>46533</v>
      </c>
      <c r="F9" s="11">
        <v>46546</v>
      </c>
      <c r="G9" t="s">
        <v>61</v>
      </c>
      <c r="H9">
        <v>20</v>
      </c>
      <c r="I9">
        <v>3</v>
      </c>
      <c r="J9" t="s">
        <v>1236</v>
      </c>
    </row>
    <row r="10" spans="1:10" x14ac:dyDescent="0.25">
      <c r="A10" t="s">
        <v>1237</v>
      </c>
      <c r="B10" t="s">
        <v>1238</v>
      </c>
      <c r="C10" t="s">
        <v>1239</v>
      </c>
      <c r="D10" t="s">
        <v>1207</v>
      </c>
      <c r="E10" s="11">
        <v>46389</v>
      </c>
      <c r="F10" s="11">
        <v>46418</v>
      </c>
      <c r="G10" t="s">
        <v>56</v>
      </c>
      <c r="H10">
        <v>12</v>
      </c>
      <c r="I10">
        <v>4</v>
      </c>
      <c r="J10" t="s">
        <v>1240</v>
      </c>
    </row>
    <row r="11" spans="1:10" x14ac:dyDescent="0.25">
      <c r="A11" t="s">
        <v>1241</v>
      </c>
      <c r="B11" t="s">
        <v>1238</v>
      </c>
      <c r="C11" t="s">
        <v>1242</v>
      </c>
      <c r="D11" t="s">
        <v>1207</v>
      </c>
      <c r="E11" s="11">
        <v>46512</v>
      </c>
      <c r="F11" s="11">
        <v>46517</v>
      </c>
      <c r="G11" t="s">
        <v>84</v>
      </c>
      <c r="H11">
        <v>20</v>
      </c>
      <c r="I11">
        <v>4</v>
      </c>
      <c r="J11" t="s">
        <v>1243</v>
      </c>
    </row>
    <row r="12" spans="1:10" x14ac:dyDescent="0.25">
      <c r="A12" t="s">
        <v>1244</v>
      </c>
      <c r="B12" t="s">
        <v>362</v>
      </c>
      <c r="C12" t="s">
        <v>1245</v>
      </c>
      <c r="D12" t="s">
        <v>1232</v>
      </c>
      <c r="E12" s="11">
        <v>46274</v>
      </c>
      <c r="F12" s="11">
        <v>46287</v>
      </c>
      <c r="G12" t="s">
        <v>84</v>
      </c>
      <c r="H12">
        <v>15</v>
      </c>
      <c r="I12">
        <v>3</v>
      </c>
      <c r="J12" t="s">
        <v>1246</v>
      </c>
    </row>
    <row r="13" spans="1:10" x14ac:dyDescent="0.25">
      <c r="A13" t="s">
        <v>1247</v>
      </c>
      <c r="B13" t="s">
        <v>365</v>
      </c>
      <c r="C13" t="s">
        <v>1248</v>
      </c>
      <c r="D13" t="s">
        <v>1225</v>
      </c>
      <c r="E13" s="11">
        <v>46405</v>
      </c>
      <c r="F13" s="11">
        <v>46419</v>
      </c>
      <c r="G13" t="s">
        <v>74</v>
      </c>
      <c r="H13">
        <v>11</v>
      </c>
      <c r="I13">
        <v>1</v>
      </c>
      <c r="J13" t="s">
        <v>1249</v>
      </c>
    </row>
    <row r="14" spans="1:10" x14ac:dyDescent="0.25">
      <c r="A14" t="s">
        <v>1250</v>
      </c>
      <c r="B14" t="s">
        <v>1205</v>
      </c>
      <c r="C14" t="s">
        <v>1251</v>
      </c>
      <c r="D14" t="s">
        <v>1212</v>
      </c>
      <c r="E14" s="11">
        <v>46308</v>
      </c>
      <c r="F14" s="11">
        <v>46318</v>
      </c>
      <c r="G14" t="s">
        <v>74</v>
      </c>
      <c r="H14">
        <v>1</v>
      </c>
      <c r="I14">
        <v>2</v>
      </c>
      <c r="J14" t="s">
        <v>1252</v>
      </c>
    </row>
    <row r="15" spans="1:10" x14ac:dyDescent="0.25">
      <c r="A15" t="s">
        <v>1253</v>
      </c>
      <c r="B15" t="s">
        <v>1254</v>
      </c>
      <c r="C15" t="s">
        <v>1255</v>
      </c>
      <c r="D15" t="s">
        <v>1256</v>
      </c>
      <c r="E15" s="11">
        <v>46243</v>
      </c>
      <c r="F15" s="11">
        <v>46268</v>
      </c>
      <c r="G15" t="s">
        <v>56</v>
      </c>
      <c r="H15">
        <v>14</v>
      </c>
      <c r="I15">
        <v>2</v>
      </c>
      <c r="J15" t="s">
        <v>1257</v>
      </c>
    </row>
    <row r="16" spans="1:10" x14ac:dyDescent="0.25">
      <c r="A16" t="s">
        <v>1258</v>
      </c>
      <c r="B16" t="s">
        <v>1238</v>
      </c>
      <c r="C16" t="s">
        <v>1259</v>
      </c>
      <c r="D16" t="s">
        <v>1216</v>
      </c>
      <c r="E16" s="11">
        <v>46382</v>
      </c>
      <c r="F16" s="11">
        <v>46397</v>
      </c>
      <c r="G16" t="s">
        <v>56</v>
      </c>
      <c r="H16">
        <v>1</v>
      </c>
      <c r="I16">
        <v>3</v>
      </c>
      <c r="J16" t="s">
        <v>1260</v>
      </c>
    </row>
    <row r="17" spans="1:10" x14ac:dyDescent="0.25">
      <c r="A17" t="s">
        <v>1261</v>
      </c>
      <c r="B17" t="s">
        <v>362</v>
      </c>
      <c r="C17" t="s">
        <v>1262</v>
      </c>
      <c r="D17" t="s">
        <v>1256</v>
      </c>
      <c r="E17" s="11">
        <v>46348</v>
      </c>
      <c r="F17" s="11">
        <v>46355</v>
      </c>
      <c r="G17" t="s">
        <v>56</v>
      </c>
      <c r="H17">
        <v>1</v>
      </c>
      <c r="I17">
        <v>4</v>
      </c>
      <c r="J17" t="s">
        <v>1263</v>
      </c>
    </row>
    <row r="18" spans="1:10" x14ac:dyDescent="0.25">
      <c r="A18" t="s">
        <v>1264</v>
      </c>
      <c r="B18" t="s">
        <v>1265</v>
      </c>
      <c r="C18" t="s">
        <v>1266</v>
      </c>
      <c r="D18" t="s">
        <v>1267</v>
      </c>
      <c r="E18" s="11">
        <v>46404</v>
      </c>
      <c r="F18" s="11">
        <v>46423</v>
      </c>
      <c r="G18" t="s">
        <v>84</v>
      </c>
      <c r="H18">
        <v>16</v>
      </c>
      <c r="I18">
        <v>5</v>
      </c>
      <c r="J18" t="s">
        <v>1268</v>
      </c>
    </row>
    <row r="19" spans="1:10" x14ac:dyDescent="0.25">
      <c r="A19" t="s">
        <v>1269</v>
      </c>
      <c r="B19" t="s">
        <v>82</v>
      </c>
      <c r="C19" t="s">
        <v>1270</v>
      </c>
      <c r="D19" t="s">
        <v>1256</v>
      </c>
      <c r="E19" s="11">
        <v>46566</v>
      </c>
      <c r="F19" s="11">
        <v>46579</v>
      </c>
      <c r="G19" t="s">
        <v>61</v>
      </c>
      <c r="H19">
        <v>1</v>
      </c>
      <c r="I19">
        <v>2</v>
      </c>
      <c r="J19" t="s">
        <v>1271</v>
      </c>
    </row>
    <row r="20" spans="1:10" x14ac:dyDescent="0.25">
      <c r="A20" t="s">
        <v>1272</v>
      </c>
      <c r="B20" t="s">
        <v>1219</v>
      </c>
      <c r="C20" t="s">
        <v>1273</v>
      </c>
      <c r="D20" t="s">
        <v>1207</v>
      </c>
      <c r="E20" s="11">
        <v>46416</v>
      </c>
      <c r="F20" s="11">
        <v>46443</v>
      </c>
      <c r="G20" t="s">
        <v>84</v>
      </c>
      <c r="H20">
        <v>7</v>
      </c>
      <c r="I20">
        <v>3</v>
      </c>
      <c r="J20" t="s">
        <v>1274</v>
      </c>
    </row>
    <row r="21" spans="1:10" x14ac:dyDescent="0.25">
      <c r="A21" t="s">
        <v>1275</v>
      </c>
      <c r="B21" t="s">
        <v>1238</v>
      </c>
      <c r="C21" t="s">
        <v>1276</v>
      </c>
      <c r="D21" t="s">
        <v>1277</v>
      </c>
      <c r="E21" s="11">
        <v>46249</v>
      </c>
      <c r="F21" s="11">
        <v>46263</v>
      </c>
      <c r="G21" t="s">
        <v>61</v>
      </c>
      <c r="H21">
        <v>7</v>
      </c>
      <c r="I21">
        <v>3</v>
      </c>
      <c r="J21" t="s">
        <v>1278</v>
      </c>
    </row>
    <row r="22" spans="1:10" x14ac:dyDescent="0.25">
      <c r="A22" t="s">
        <v>1279</v>
      </c>
      <c r="B22" t="s">
        <v>1238</v>
      </c>
      <c r="C22" t="s">
        <v>1280</v>
      </c>
      <c r="D22" t="s">
        <v>1221</v>
      </c>
      <c r="E22" s="11">
        <v>46328</v>
      </c>
      <c r="F22" s="11">
        <v>46347</v>
      </c>
      <c r="G22" t="s">
        <v>74</v>
      </c>
      <c r="H22">
        <v>5</v>
      </c>
      <c r="I22">
        <v>0</v>
      </c>
      <c r="J22" t="s">
        <v>1281</v>
      </c>
    </row>
    <row r="23" spans="1:10" x14ac:dyDescent="0.25">
      <c r="A23" t="s">
        <v>1282</v>
      </c>
      <c r="B23" t="s">
        <v>1210</v>
      </c>
      <c r="C23" t="s">
        <v>1283</v>
      </c>
      <c r="D23" t="s">
        <v>1216</v>
      </c>
      <c r="E23" s="11">
        <v>46489</v>
      </c>
      <c r="F23" s="11">
        <v>46499</v>
      </c>
      <c r="G23" t="s">
        <v>56</v>
      </c>
      <c r="H23">
        <v>10</v>
      </c>
      <c r="I23">
        <v>0</v>
      </c>
      <c r="J23" t="s">
        <v>1284</v>
      </c>
    </row>
    <row r="24" spans="1:10" x14ac:dyDescent="0.25">
      <c r="A24" t="s">
        <v>1285</v>
      </c>
      <c r="B24" t="s">
        <v>82</v>
      </c>
      <c r="C24" t="s">
        <v>1286</v>
      </c>
      <c r="D24" t="s">
        <v>1221</v>
      </c>
      <c r="E24" s="11">
        <v>46353</v>
      </c>
      <c r="F24" s="11">
        <v>46358</v>
      </c>
      <c r="G24" t="s">
        <v>61</v>
      </c>
      <c r="H24">
        <v>2</v>
      </c>
      <c r="I24">
        <v>3</v>
      </c>
      <c r="J24" t="s">
        <v>1287</v>
      </c>
    </row>
    <row r="25" spans="1:10" x14ac:dyDescent="0.25">
      <c r="A25" t="s">
        <v>1288</v>
      </c>
      <c r="B25" t="s">
        <v>107</v>
      </c>
      <c r="C25" t="s">
        <v>1289</v>
      </c>
      <c r="D25" t="s">
        <v>1267</v>
      </c>
      <c r="E25" s="11">
        <v>46311</v>
      </c>
      <c r="F25" s="11">
        <v>46328</v>
      </c>
      <c r="G25" t="s">
        <v>56</v>
      </c>
      <c r="H25">
        <v>13</v>
      </c>
      <c r="I25">
        <v>1</v>
      </c>
      <c r="J25" t="s">
        <v>1290</v>
      </c>
    </row>
    <row r="26" spans="1:10" x14ac:dyDescent="0.25">
      <c r="A26" t="s">
        <v>1291</v>
      </c>
      <c r="B26" t="s">
        <v>107</v>
      </c>
      <c r="C26" t="s">
        <v>1292</v>
      </c>
      <c r="D26" t="s">
        <v>1216</v>
      </c>
      <c r="E26" s="11">
        <v>46381</v>
      </c>
      <c r="F26" s="11">
        <v>46395</v>
      </c>
      <c r="G26" t="s">
        <v>61</v>
      </c>
      <c r="H26">
        <v>16</v>
      </c>
      <c r="I26">
        <v>3</v>
      </c>
      <c r="J26" t="s">
        <v>1293</v>
      </c>
    </row>
    <row r="27" spans="1:10" x14ac:dyDescent="0.25">
      <c r="A27" t="s">
        <v>1294</v>
      </c>
      <c r="B27" t="s">
        <v>1219</v>
      </c>
      <c r="C27" t="s">
        <v>1295</v>
      </c>
      <c r="D27" t="s">
        <v>1221</v>
      </c>
      <c r="E27" s="11">
        <v>46576</v>
      </c>
      <c r="F27" s="11">
        <v>46586</v>
      </c>
      <c r="G27" t="s">
        <v>61</v>
      </c>
      <c r="H27">
        <v>18</v>
      </c>
      <c r="I27">
        <v>2</v>
      </c>
      <c r="J27" t="s">
        <v>1296</v>
      </c>
    </row>
    <row r="28" spans="1:10" x14ac:dyDescent="0.25">
      <c r="A28" t="s">
        <v>1297</v>
      </c>
      <c r="B28" t="s">
        <v>1219</v>
      </c>
      <c r="C28" t="s">
        <v>1298</v>
      </c>
      <c r="D28" t="s">
        <v>1232</v>
      </c>
      <c r="E28" s="11">
        <v>46318</v>
      </c>
      <c r="F28" s="11">
        <v>46325</v>
      </c>
      <c r="G28" t="s">
        <v>61</v>
      </c>
      <c r="H28">
        <v>7</v>
      </c>
      <c r="I28">
        <v>4</v>
      </c>
      <c r="J28" t="s">
        <v>1299</v>
      </c>
    </row>
    <row r="29" spans="1:10" x14ac:dyDescent="0.25">
      <c r="A29" t="s">
        <v>1300</v>
      </c>
      <c r="B29" t="s">
        <v>1265</v>
      </c>
      <c r="C29" t="s">
        <v>1301</v>
      </c>
      <c r="D29" t="s">
        <v>1225</v>
      </c>
      <c r="E29" s="11">
        <v>46546</v>
      </c>
      <c r="F29" s="11">
        <v>46557</v>
      </c>
      <c r="G29" t="s">
        <v>84</v>
      </c>
      <c r="H29">
        <v>6</v>
      </c>
      <c r="I29">
        <v>3</v>
      </c>
      <c r="J29" t="s">
        <v>1302</v>
      </c>
    </row>
    <row r="30" spans="1:10" x14ac:dyDescent="0.25">
      <c r="A30" t="s">
        <v>1303</v>
      </c>
      <c r="B30" t="s">
        <v>1210</v>
      </c>
      <c r="C30" t="s">
        <v>1304</v>
      </c>
      <c r="D30" t="s">
        <v>1221</v>
      </c>
      <c r="E30" s="11">
        <v>46526</v>
      </c>
      <c r="F30" s="11">
        <v>46532</v>
      </c>
      <c r="G30" t="s">
        <v>66</v>
      </c>
      <c r="H30">
        <v>13</v>
      </c>
      <c r="I30">
        <v>5</v>
      </c>
      <c r="J30" t="s">
        <v>1305</v>
      </c>
    </row>
    <row r="31" spans="1:10" x14ac:dyDescent="0.25">
      <c r="A31" t="s">
        <v>1306</v>
      </c>
      <c r="B31" t="s">
        <v>1210</v>
      </c>
      <c r="C31" t="s">
        <v>1307</v>
      </c>
      <c r="D31" t="s">
        <v>1232</v>
      </c>
      <c r="E31" s="11">
        <v>46300</v>
      </c>
      <c r="F31" s="11">
        <v>46308</v>
      </c>
      <c r="G31" t="s">
        <v>61</v>
      </c>
      <c r="H31">
        <v>2</v>
      </c>
      <c r="I31">
        <v>2</v>
      </c>
      <c r="J31" t="s">
        <v>1308</v>
      </c>
    </row>
    <row r="32" spans="1:10" x14ac:dyDescent="0.25">
      <c r="A32" t="s">
        <v>1309</v>
      </c>
      <c r="B32" t="s">
        <v>1254</v>
      </c>
      <c r="C32" t="s">
        <v>1310</v>
      </c>
      <c r="D32" t="s">
        <v>1232</v>
      </c>
      <c r="E32" s="11">
        <v>46553</v>
      </c>
      <c r="F32" s="11">
        <v>46565</v>
      </c>
      <c r="G32" t="s">
        <v>61</v>
      </c>
      <c r="H32">
        <v>2</v>
      </c>
      <c r="I32">
        <v>4</v>
      </c>
      <c r="J32" t="s">
        <v>1311</v>
      </c>
    </row>
    <row r="33" spans="1:10" x14ac:dyDescent="0.25">
      <c r="A33" t="s">
        <v>1312</v>
      </c>
      <c r="B33" t="s">
        <v>1238</v>
      </c>
      <c r="C33" t="s">
        <v>1313</v>
      </c>
      <c r="D33" t="s">
        <v>1225</v>
      </c>
      <c r="E33" s="11">
        <v>46364</v>
      </c>
      <c r="F33" s="11">
        <v>46381</v>
      </c>
      <c r="G33" t="s">
        <v>84</v>
      </c>
      <c r="H33">
        <v>8</v>
      </c>
      <c r="I33">
        <v>1</v>
      </c>
      <c r="J33" t="s">
        <v>1314</v>
      </c>
    </row>
    <row r="34" spans="1:10" x14ac:dyDescent="0.25">
      <c r="A34" t="s">
        <v>1315</v>
      </c>
      <c r="B34" t="s">
        <v>1210</v>
      </c>
      <c r="C34" t="s">
        <v>1316</v>
      </c>
      <c r="D34" t="s">
        <v>1207</v>
      </c>
      <c r="E34" s="11">
        <v>46592</v>
      </c>
      <c r="F34" s="11">
        <v>46614</v>
      </c>
      <c r="G34" t="s">
        <v>74</v>
      </c>
      <c r="H34">
        <v>1</v>
      </c>
      <c r="I34">
        <v>5</v>
      </c>
      <c r="J34" t="s">
        <v>1317</v>
      </c>
    </row>
    <row r="35" spans="1:10" x14ac:dyDescent="0.25">
      <c r="A35" t="s">
        <v>1318</v>
      </c>
      <c r="B35" t="s">
        <v>1265</v>
      </c>
      <c r="C35" t="s">
        <v>1319</v>
      </c>
      <c r="D35" t="s">
        <v>1207</v>
      </c>
      <c r="E35" s="11">
        <v>46590</v>
      </c>
      <c r="F35" s="11">
        <v>46614</v>
      </c>
      <c r="G35" t="s">
        <v>84</v>
      </c>
      <c r="H35">
        <v>7</v>
      </c>
      <c r="I35">
        <v>3</v>
      </c>
      <c r="J35" t="s">
        <v>1320</v>
      </c>
    </row>
    <row r="36" spans="1:10" x14ac:dyDescent="0.25">
      <c r="A36" t="s">
        <v>1321</v>
      </c>
      <c r="B36" t="s">
        <v>1265</v>
      </c>
      <c r="C36" t="s">
        <v>1322</v>
      </c>
      <c r="D36" t="s">
        <v>1267</v>
      </c>
      <c r="E36" s="11">
        <v>46385</v>
      </c>
      <c r="F36" s="11">
        <v>46397</v>
      </c>
      <c r="G36" t="s">
        <v>84</v>
      </c>
      <c r="H36">
        <v>7</v>
      </c>
      <c r="I36">
        <v>4</v>
      </c>
      <c r="J36" t="s">
        <v>1323</v>
      </c>
    </row>
    <row r="37" spans="1:10" x14ac:dyDescent="0.25">
      <c r="A37" t="s">
        <v>1324</v>
      </c>
      <c r="B37" t="s">
        <v>1205</v>
      </c>
      <c r="C37" t="s">
        <v>1325</v>
      </c>
      <c r="D37" t="s">
        <v>1277</v>
      </c>
      <c r="E37" s="11">
        <v>46432</v>
      </c>
      <c r="F37" s="11">
        <v>46452</v>
      </c>
      <c r="G37" t="s">
        <v>66</v>
      </c>
      <c r="H37">
        <v>17</v>
      </c>
      <c r="I37">
        <v>0</v>
      </c>
      <c r="J37" t="s">
        <v>1326</v>
      </c>
    </row>
    <row r="38" spans="1:10" x14ac:dyDescent="0.25">
      <c r="A38" t="s">
        <v>1327</v>
      </c>
      <c r="B38" t="s">
        <v>1265</v>
      </c>
      <c r="C38" t="s">
        <v>1328</v>
      </c>
      <c r="D38" t="s">
        <v>1256</v>
      </c>
      <c r="E38" s="11">
        <v>46560</v>
      </c>
      <c r="F38" s="11">
        <v>46566</v>
      </c>
      <c r="G38" t="s">
        <v>84</v>
      </c>
      <c r="H38">
        <v>20</v>
      </c>
      <c r="I38">
        <v>1</v>
      </c>
      <c r="J38" t="s">
        <v>1329</v>
      </c>
    </row>
    <row r="39" spans="1:10" x14ac:dyDescent="0.25">
      <c r="A39" t="s">
        <v>1330</v>
      </c>
      <c r="B39" t="s">
        <v>1219</v>
      </c>
      <c r="C39" t="s">
        <v>1331</v>
      </c>
      <c r="D39" t="s">
        <v>1277</v>
      </c>
      <c r="E39" s="11">
        <v>46265</v>
      </c>
      <c r="F39" s="11">
        <v>46276</v>
      </c>
      <c r="G39" t="s">
        <v>84</v>
      </c>
      <c r="H39">
        <v>13</v>
      </c>
      <c r="I39">
        <v>4</v>
      </c>
      <c r="J39" t="s">
        <v>1332</v>
      </c>
    </row>
    <row r="40" spans="1:10" x14ac:dyDescent="0.25">
      <c r="A40" t="s">
        <v>1333</v>
      </c>
      <c r="B40" t="s">
        <v>1254</v>
      </c>
      <c r="C40" t="s">
        <v>1334</v>
      </c>
      <c r="D40" t="s">
        <v>1256</v>
      </c>
      <c r="E40" s="11">
        <v>46568</v>
      </c>
      <c r="F40" s="11">
        <v>46574</v>
      </c>
      <c r="G40" t="s">
        <v>56</v>
      </c>
      <c r="H40">
        <v>4</v>
      </c>
      <c r="I40">
        <v>2</v>
      </c>
      <c r="J40" t="s">
        <v>1335</v>
      </c>
    </row>
    <row r="41" spans="1:10" x14ac:dyDescent="0.25">
      <c r="A41" t="s">
        <v>1336</v>
      </c>
      <c r="B41" t="s">
        <v>365</v>
      </c>
      <c r="C41" t="s">
        <v>1337</v>
      </c>
      <c r="D41" t="s">
        <v>1212</v>
      </c>
      <c r="E41" s="11">
        <v>46252</v>
      </c>
      <c r="F41" s="11">
        <v>46273</v>
      </c>
      <c r="G41" t="s">
        <v>66</v>
      </c>
      <c r="H41">
        <v>13</v>
      </c>
      <c r="I41">
        <v>3</v>
      </c>
      <c r="J41" t="s">
        <v>1338</v>
      </c>
    </row>
    <row r="42" spans="1:10" x14ac:dyDescent="0.25">
      <c r="A42" t="s">
        <v>1339</v>
      </c>
      <c r="B42" t="s">
        <v>1238</v>
      </c>
      <c r="C42" t="s">
        <v>1340</v>
      </c>
      <c r="D42" t="s">
        <v>1277</v>
      </c>
      <c r="E42" s="11">
        <v>46584</v>
      </c>
      <c r="F42" s="11">
        <v>46605</v>
      </c>
      <c r="G42" t="s">
        <v>74</v>
      </c>
      <c r="H42">
        <v>11</v>
      </c>
      <c r="I42">
        <v>3</v>
      </c>
      <c r="J42" t="s">
        <v>1341</v>
      </c>
    </row>
    <row r="43" spans="1:10" x14ac:dyDescent="0.25">
      <c r="A43" t="s">
        <v>1342</v>
      </c>
      <c r="B43" t="s">
        <v>1205</v>
      </c>
      <c r="C43" t="s">
        <v>1343</v>
      </c>
      <c r="D43" t="s">
        <v>1344</v>
      </c>
      <c r="E43" s="11">
        <v>46594</v>
      </c>
      <c r="F43" s="11">
        <v>46614</v>
      </c>
      <c r="G43" t="s">
        <v>66</v>
      </c>
      <c r="H43">
        <v>0</v>
      </c>
      <c r="I43">
        <v>2</v>
      </c>
      <c r="J43" t="s">
        <v>1345</v>
      </c>
    </row>
    <row r="44" spans="1:10" x14ac:dyDescent="0.25">
      <c r="A44" t="s">
        <v>1346</v>
      </c>
      <c r="B44" t="s">
        <v>107</v>
      </c>
      <c r="C44" t="s">
        <v>1347</v>
      </c>
      <c r="D44" t="s">
        <v>1256</v>
      </c>
      <c r="E44" s="11">
        <v>46250</v>
      </c>
      <c r="F44" s="11">
        <v>46277</v>
      </c>
      <c r="G44" t="s">
        <v>66</v>
      </c>
      <c r="H44">
        <v>20</v>
      </c>
      <c r="I44">
        <v>2</v>
      </c>
      <c r="J44" t="s">
        <v>1348</v>
      </c>
    </row>
    <row r="45" spans="1:10" x14ac:dyDescent="0.25">
      <c r="A45" t="s">
        <v>1349</v>
      </c>
      <c r="B45" t="s">
        <v>1265</v>
      </c>
      <c r="C45" t="s">
        <v>1350</v>
      </c>
      <c r="D45" t="s">
        <v>1216</v>
      </c>
      <c r="E45" s="11">
        <v>46577</v>
      </c>
      <c r="F45" s="11">
        <v>46591</v>
      </c>
      <c r="G45" t="s">
        <v>56</v>
      </c>
      <c r="H45">
        <v>14</v>
      </c>
      <c r="I45">
        <v>5</v>
      </c>
      <c r="J45" t="s">
        <v>1351</v>
      </c>
    </row>
    <row r="46" spans="1:10" x14ac:dyDescent="0.25">
      <c r="A46" t="s">
        <v>1352</v>
      </c>
      <c r="B46" t="s">
        <v>1265</v>
      </c>
      <c r="C46" t="s">
        <v>1353</v>
      </c>
      <c r="D46" t="s">
        <v>1344</v>
      </c>
      <c r="E46" s="11">
        <v>46367</v>
      </c>
      <c r="F46" s="11">
        <v>46385</v>
      </c>
      <c r="G46" t="s">
        <v>66</v>
      </c>
      <c r="H46">
        <v>7</v>
      </c>
      <c r="I46">
        <v>5</v>
      </c>
      <c r="J46" t="s">
        <v>1354</v>
      </c>
    </row>
    <row r="47" spans="1:10" x14ac:dyDescent="0.25">
      <c r="A47" t="s">
        <v>1355</v>
      </c>
      <c r="B47" t="s">
        <v>1210</v>
      </c>
      <c r="C47" t="s">
        <v>1356</v>
      </c>
      <c r="D47" t="s">
        <v>1277</v>
      </c>
      <c r="E47" s="11">
        <v>46452</v>
      </c>
      <c r="F47" s="11">
        <v>46469</v>
      </c>
      <c r="G47" t="s">
        <v>66</v>
      </c>
      <c r="H47">
        <v>11</v>
      </c>
      <c r="I47">
        <v>2</v>
      </c>
      <c r="J47" t="s">
        <v>1357</v>
      </c>
    </row>
    <row r="48" spans="1:10" x14ac:dyDescent="0.25">
      <c r="A48" t="s">
        <v>1358</v>
      </c>
      <c r="B48" t="s">
        <v>107</v>
      </c>
      <c r="C48" t="s">
        <v>1359</v>
      </c>
      <c r="D48" t="s">
        <v>1267</v>
      </c>
      <c r="E48" s="11">
        <v>46584</v>
      </c>
      <c r="F48" s="11">
        <v>46598</v>
      </c>
      <c r="G48" t="s">
        <v>74</v>
      </c>
      <c r="H48">
        <v>4</v>
      </c>
      <c r="I48">
        <v>1</v>
      </c>
      <c r="J48" t="s">
        <v>1360</v>
      </c>
    </row>
    <row r="49" spans="1:10" x14ac:dyDescent="0.25">
      <c r="A49" t="s">
        <v>1361</v>
      </c>
      <c r="B49" t="s">
        <v>1210</v>
      </c>
      <c r="C49" t="s">
        <v>1362</v>
      </c>
      <c r="D49" t="s">
        <v>1207</v>
      </c>
      <c r="E49" s="11">
        <v>46434</v>
      </c>
      <c r="F49" s="11">
        <v>46457</v>
      </c>
      <c r="G49" t="s">
        <v>74</v>
      </c>
      <c r="H49">
        <v>2</v>
      </c>
      <c r="I49">
        <v>1</v>
      </c>
      <c r="J49" t="s">
        <v>1363</v>
      </c>
    </row>
    <row r="50" spans="1:10" x14ac:dyDescent="0.25">
      <c r="A50" t="s">
        <v>1364</v>
      </c>
      <c r="B50" t="s">
        <v>107</v>
      </c>
      <c r="C50" t="s">
        <v>1365</v>
      </c>
      <c r="D50" t="s">
        <v>1216</v>
      </c>
      <c r="E50" s="11">
        <v>46457</v>
      </c>
      <c r="F50" s="11">
        <v>46487</v>
      </c>
      <c r="G50" t="s">
        <v>66</v>
      </c>
      <c r="H50">
        <v>7</v>
      </c>
      <c r="I50">
        <v>3</v>
      </c>
      <c r="J50" t="s">
        <v>1366</v>
      </c>
    </row>
    <row r="51" spans="1:10" x14ac:dyDescent="0.25">
      <c r="A51" t="s">
        <v>1367</v>
      </c>
      <c r="B51" t="s">
        <v>1265</v>
      </c>
      <c r="C51" t="s">
        <v>1368</v>
      </c>
      <c r="D51" t="s">
        <v>1277</v>
      </c>
      <c r="E51" s="11">
        <v>46329</v>
      </c>
      <c r="F51" s="11">
        <v>46343</v>
      </c>
      <c r="G51" t="s">
        <v>84</v>
      </c>
      <c r="H51">
        <v>13</v>
      </c>
      <c r="I51">
        <v>3</v>
      </c>
      <c r="J51" t="s">
        <v>1369</v>
      </c>
    </row>
    <row r="52" spans="1:10" x14ac:dyDescent="0.25">
      <c r="A52" t="s">
        <v>1370</v>
      </c>
      <c r="B52" t="s">
        <v>1210</v>
      </c>
      <c r="C52" t="s">
        <v>1371</v>
      </c>
      <c r="D52" t="s">
        <v>1256</v>
      </c>
      <c r="E52" s="11">
        <v>46420</v>
      </c>
      <c r="F52" s="11">
        <v>46430</v>
      </c>
      <c r="G52" t="s">
        <v>56</v>
      </c>
      <c r="H52">
        <v>3</v>
      </c>
      <c r="I52">
        <v>0</v>
      </c>
      <c r="J52" t="s">
        <v>1372</v>
      </c>
    </row>
    <row r="53" spans="1:10" x14ac:dyDescent="0.25">
      <c r="A53" t="s">
        <v>1373</v>
      </c>
      <c r="B53" t="s">
        <v>1265</v>
      </c>
      <c r="C53" t="s">
        <v>1374</v>
      </c>
      <c r="D53" t="s">
        <v>1207</v>
      </c>
      <c r="E53" s="11">
        <v>46452</v>
      </c>
      <c r="F53" s="11">
        <v>46468</v>
      </c>
      <c r="G53" t="s">
        <v>74</v>
      </c>
      <c r="H53">
        <v>15</v>
      </c>
      <c r="I53">
        <v>5</v>
      </c>
      <c r="J53" t="s">
        <v>1375</v>
      </c>
    </row>
    <row r="54" spans="1:10" x14ac:dyDescent="0.25">
      <c r="A54" t="s">
        <v>1376</v>
      </c>
      <c r="B54" t="s">
        <v>82</v>
      </c>
      <c r="C54" t="s">
        <v>1377</v>
      </c>
      <c r="D54" t="s">
        <v>1216</v>
      </c>
      <c r="E54" s="11">
        <v>46347</v>
      </c>
      <c r="F54" s="11">
        <v>46371</v>
      </c>
      <c r="G54" t="s">
        <v>84</v>
      </c>
      <c r="H54">
        <v>15</v>
      </c>
      <c r="I54">
        <v>5</v>
      </c>
      <c r="J54" t="s">
        <v>1378</v>
      </c>
    </row>
    <row r="55" spans="1:10" x14ac:dyDescent="0.25">
      <c r="A55" t="s">
        <v>1379</v>
      </c>
      <c r="B55" t="s">
        <v>1219</v>
      </c>
      <c r="C55" t="s">
        <v>1380</v>
      </c>
      <c r="D55" t="s">
        <v>1344</v>
      </c>
      <c r="E55" s="11">
        <v>46592</v>
      </c>
      <c r="F55" s="11">
        <v>46612</v>
      </c>
      <c r="G55" t="s">
        <v>74</v>
      </c>
      <c r="H55">
        <v>2</v>
      </c>
      <c r="I55">
        <v>5</v>
      </c>
      <c r="J55" t="s">
        <v>1381</v>
      </c>
    </row>
    <row r="56" spans="1:10" x14ac:dyDescent="0.25">
      <c r="A56" t="s">
        <v>1382</v>
      </c>
      <c r="B56" t="s">
        <v>1210</v>
      </c>
      <c r="C56" t="s">
        <v>1383</v>
      </c>
      <c r="D56" t="s">
        <v>1221</v>
      </c>
      <c r="E56" s="11">
        <v>46469</v>
      </c>
      <c r="F56" s="11">
        <v>46493</v>
      </c>
      <c r="G56" t="s">
        <v>74</v>
      </c>
      <c r="H56">
        <v>4</v>
      </c>
      <c r="I56">
        <v>3</v>
      </c>
      <c r="J56" t="s">
        <v>1384</v>
      </c>
    </row>
    <row r="57" spans="1:10" x14ac:dyDescent="0.25">
      <c r="A57" t="s">
        <v>1385</v>
      </c>
      <c r="B57" t="s">
        <v>1210</v>
      </c>
      <c r="C57" t="s">
        <v>1386</v>
      </c>
      <c r="D57" t="s">
        <v>1267</v>
      </c>
      <c r="E57" s="11">
        <v>46437</v>
      </c>
      <c r="F57" s="11">
        <v>46444</v>
      </c>
      <c r="G57" t="s">
        <v>84</v>
      </c>
      <c r="H57">
        <v>3</v>
      </c>
      <c r="I57">
        <v>5</v>
      </c>
      <c r="J57" t="s">
        <v>1387</v>
      </c>
    </row>
    <row r="58" spans="1:10" x14ac:dyDescent="0.25">
      <c r="A58" t="s">
        <v>1388</v>
      </c>
      <c r="B58" t="s">
        <v>1219</v>
      </c>
      <c r="C58" t="s">
        <v>1389</v>
      </c>
      <c r="D58" t="s">
        <v>1212</v>
      </c>
      <c r="E58" s="11">
        <v>46318</v>
      </c>
      <c r="F58" s="11">
        <v>46330</v>
      </c>
      <c r="G58" t="s">
        <v>61</v>
      </c>
      <c r="H58">
        <v>3</v>
      </c>
      <c r="I58">
        <v>4</v>
      </c>
      <c r="J58" t="s">
        <v>1390</v>
      </c>
    </row>
    <row r="59" spans="1:10" x14ac:dyDescent="0.25">
      <c r="A59" t="s">
        <v>1391</v>
      </c>
      <c r="B59" t="s">
        <v>107</v>
      </c>
      <c r="C59" t="s">
        <v>1392</v>
      </c>
      <c r="D59" t="s">
        <v>1232</v>
      </c>
      <c r="E59" s="11">
        <v>46567</v>
      </c>
      <c r="F59" s="11">
        <v>46576</v>
      </c>
      <c r="G59" t="s">
        <v>56</v>
      </c>
      <c r="H59">
        <v>11</v>
      </c>
      <c r="I59">
        <v>2</v>
      </c>
      <c r="J59" t="s">
        <v>1393</v>
      </c>
    </row>
    <row r="60" spans="1:10" x14ac:dyDescent="0.25">
      <c r="A60" t="s">
        <v>1394</v>
      </c>
      <c r="B60" t="s">
        <v>365</v>
      </c>
      <c r="C60" t="s">
        <v>1395</v>
      </c>
      <c r="D60" t="s">
        <v>1277</v>
      </c>
      <c r="E60" s="11">
        <v>46267</v>
      </c>
      <c r="F60" s="11">
        <v>46272</v>
      </c>
      <c r="G60" t="s">
        <v>61</v>
      </c>
      <c r="H60">
        <v>19</v>
      </c>
      <c r="I60">
        <v>1</v>
      </c>
      <c r="J60" t="s">
        <v>1396</v>
      </c>
    </row>
    <row r="61" spans="1:10" x14ac:dyDescent="0.25">
      <c r="A61" t="s">
        <v>1397</v>
      </c>
      <c r="B61" t="s">
        <v>365</v>
      </c>
      <c r="C61" t="s">
        <v>1398</v>
      </c>
      <c r="D61" t="s">
        <v>1232</v>
      </c>
      <c r="E61" s="11">
        <v>46326</v>
      </c>
      <c r="F61" s="11">
        <v>46333</v>
      </c>
      <c r="G61" t="s">
        <v>66</v>
      </c>
      <c r="H61">
        <v>7</v>
      </c>
      <c r="I61">
        <v>4</v>
      </c>
      <c r="J61" t="s">
        <v>1399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D72B-6AA3-4A9D-9625-C4723E157BDD}">
  <sheetPr codeName="Sheet7"/>
  <dimension ref="A1:I81"/>
  <sheetViews>
    <sheetView workbookViewId="0"/>
  </sheetViews>
  <sheetFormatPr defaultRowHeight="15" x14ac:dyDescent="0.25"/>
  <cols>
    <col min="1" max="9" width="16.7109375" customWidth="1"/>
  </cols>
  <sheetData>
    <row r="1" spans="1:9" x14ac:dyDescent="0.25">
      <c r="A1" s="9" t="s">
        <v>1400</v>
      </c>
      <c r="B1" s="9" t="s">
        <v>1401</v>
      </c>
      <c r="C1" s="9" t="s">
        <v>1402</v>
      </c>
      <c r="D1" s="9" t="s">
        <v>1403</v>
      </c>
      <c r="E1" s="9" t="s">
        <v>1404</v>
      </c>
      <c r="F1" s="9" t="s">
        <v>48</v>
      </c>
      <c r="G1" s="9" t="s">
        <v>1405</v>
      </c>
      <c r="H1" s="9" t="s">
        <v>1406</v>
      </c>
      <c r="I1" s="9" t="s">
        <v>1407</v>
      </c>
    </row>
    <row r="2" spans="1:9" x14ac:dyDescent="0.25">
      <c r="A2" t="s">
        <v>1408</v>
      </c>
      <c r="B2" t="s">
        <v>1409</v>
      </c>
      <c r="C2" t="s">
        <v>89</v>
      </c>
      <c r="D2" t="s">
        <v>67</v>
      </c>
      <c r="E2">
        <v>64.699996948242188</v>
      </c>
      <c r="F2" t="s">
        <v>84</v>
      </c>
      <c r="G2" s="11">
        <v>45991</v>
      </c>
      <c r="H2" s="11">
        <v>46302</v>
      </c>
      <c r="I2" t="s">
        <v>66</v>
      </c>
    </row>
    <row r="3" spans="1:9" x14ac:dyDescent="0.25">
      <c r="A3" t="s">
        <v>1410</v>
      </c>
      <c r="B3" t="s">
        <v>1411</v>
      </c>
      <c r="C3" t="s">
        <v>122</v>
      </c>
      <c r="D3" t="s">
        <v>1412</v>
      </c>
      <c r="E3">
        <v>27.200000762939453</v>
      </c>
      <c r="F3" t="s">
        <v>84</v>
      </c>
      <c r="G3" s="11">
        <v>46003</v>
      </c>
      <c r="H3" s="11">
        <v>46044</v>
      </c>
      <c r="I3" t="s">
        <v>66</v>
      </c>
    </row>
    <row r="4" spans="1:9" x14ac:dyDescent="0.25">
      <c r="A4" t="s">
        <v>1413</v>
      </c>
      <c r="B4" t="s">
        <v>1414</v>
      </c>
      <c r="C4" t="s">
        <v>96</v>
      </c>
      <c r="D4" t="s">
        <v>57</v>
      </c>
      <c r="E4">
        <v>10.5</v>
      </c>
      <c r="F4" t="s">
        <v>56</v>
      </c>
      <c r="G4" s="11">
        <v>45951</v>
      </c>
      <c r="H4" s="11">
        <v>45974</v>
      </c>
      <c r="I4" t="s">
        <v>56</v>
      </c>
    </row>
    <row r="5" spans="1:9" x14ac:dyDescent="0.25">
      <c r="A5" t="s">
        <v>1415</v>
      </c>
      <c r="B5" t="s">
        <v>1416</v>
      </c>
      <c r="C5" t="s">
        <v>96</v>
      </c>
      <c r="D5" t="s">
        <v>67</v>
      </c>
      <c r="E5">
        <v>77.199996948242188</v>
      </c>
      <c r="F5" t="s">
        <v>66</v>
      </c>
      <c r="G5" s="11">
        <v>45694</v>
      </c>
      <c r="H5" s="11">
        <v>45922</v>
      </c>
      <c r="I5" t="s">
        <v>56</v>
      </c>
    </row>
    <row r="6" spans="1:9" x14ac:dyDescent="0.25">
      <c r="A6" t="s">
        <v>1417</v>
      </c>
      <c r="B6" t="s">
        <v>1418</v>
      </c>
      <c r="C6" t="s">
        <v>69</v>
      </c>
      <c r="D6" t="s">
        <v>57</v>
      </c>
      <c r="E6">
        <v>35.400001525878906</v>
      </c>
      <c r="F6" t="s">
        <v>84</v>
      </c>
      <c r="G6" s="11">
        <v>45948</v>
      </c>
      <c r="H6" s="11">
        <v>46035</v>
      </c>
      <c r="I6" t="s">
        <v>56</v>
      </c>
    </row>
    <row r="7" spans="1:9" x14ac:dyDescent="0.25">
      <c r="A7" t="s">
        <v>1419</v>
      </c>
      <c r="B7" t="s">
        <v>1420</v>
      </c>
      <c r="C7" t="s">
        <v>63</v>
      </c>
      <c r="D7" t="s">
        <v>67</v>
      </c>
      <c r="E7">
        <v>30.200000762939453</v>
      </c>
      <c r="F7" t="s">
        <v>66</v>
      </c>
      <c r="G7" s="11">
        <v>45728</v>
      </c>
      <c r="H7" s="11">
        <v>45859</v>
      </c>
      <c r="I7" t="s">
        <v>56</v>
      </c>
    </row>
    <row r="8" spans="1:9" x14ac:dyDescent="0.25">
      <c r="A8" t="s">
        <v>1421</v>
      </c>
      <c r="B8" t="s">
        <v>1422</v>
      </c>
      <c r="C8" t="s">
        <v>53</v>
      </c>
      <c r="D8" t="s">
        <v>1412</v>
      </c>
      <c r="E8">
        <v>43.099998474121094</v>
      </c>
      <c r="F8" t="s">
        <v>66</v>
      </c>
      <c r="G8" s="11">
        <v>45636</v>
      </c>
      <c r="H8" s="11">
        <v>45986</v>
      </c>
      <c r="I8" t="s">
        <v>66</v>
      </c>
    </row>
    <row r="9" spans="1:9" x14ac:dyDescent="0.25">
      <c r="A9" t="s">
        <v>1423</v>
      </c>
      <c r="B9" t="s">
        <v>1424</v>
      </c>
      <c r="C9" t="s">
        <v>82</v>
      </c>
      <c r="D9" t="s">
        <v>1412</v>
      </c>
      <c r="E9">
        <v>28.700000762939453</v>
      </c>
      <c r="F9" t="s">
        <v>61</v>
      </c>
      <c r="G9" s="11">
        <v>46033</v>
      </c>
      <c r="H9" s="11">
        <v>46041</v>
      </c>
      <c r="I9" t="s">
        <v>66</v>
      </c>
    </row>
    <row r="10" spans="1:9" x14ac:dyDescent="0.25">
      <c r="A10" t="s">
        <v>1425</v>
      </c>
      <c r="B10" t="s">
        <v>1426</v>
      </c>
      <c r="C10" t="s">
        <v>96</v>
      </c>
      <c r="D10" t="s">
        <v>1427</v>
      </c>
      <c r="E10">
        <v>51</v>
      </c>
      <c r="F10" t="s">
        <v>84</v>
      </c>
      <c r="G10" s="11">
        <v>45948</v>
      </c>
      <c r="H10" s="11">
        <v>45968</v>
      </c>
      <c r="I10" t="s">
        <v>56</v>
      </c>
    </row>
    <row r="11" spans="1:9" x14ac:dyDescent="0.25">
      <c r="A11" t="s">
        <v>1428</v>
      </c>
      <c r="B11" t="s">
        <v>1429</v>
      </c>
      <c r="C11" t="s">
        <v>63</v>
      </c>
      <c r="D11" t="s">
        <v>67</v>
      </c>
      <c r="E11">
        <v>56</v>
      </c>
      <c r="F11" t="s">
        <v>61</v>
      </c>
      <c r="G11" s="11">
        <v>45627</v>
      </c>
      <c r="H11" s="11">
        <v>45836</v>
      </c>
      <c r="I11" t="s">
        <v>84</v>
      </c>
    </row>
    <row r="12" spans="1:9" x14ac:dyDescent="0.25">
      <c r="A12" t="s">
        <v>1430</v>
      </c>
      <c r="B12" t="s">
        <v>1431</v>
      </c>
      <c r="C12" t="s">
        <v>76</v>
      </c>
      <c r="D12" t="s">
        <v>67</v>
      </c>
      <c r="E12">
        <v>99.300003051757813</v>
      </c>
      <c r="F12" t="s">
        <v>56</v>
      </c>
      <c r="G12" s="11">
        <v>46174</v>
      </c>
      <c r="H12" s="11">
        <v>46396</v>
      </c>
      <c r="I12" t="s">
        <v>61</v>
      </c>
    </row>
    <row r="13" spans="1:9" x14ac:dyDescent="0.25">
      <c r="A13" t="s">
        <v>1432</v>
      </c>
      <c r="B13" t="s">
        <v>1433</v>
      </c>
      <c r="C13" t="s">
        <v>107</v>
      </c>
      <c r="D13" t="s">
        <v>1412</v>
      </c>
      <c r="E13">
        <v>27.200000762939453</v>
      </c>
      <c r="F13" t="s">
        <v>56</v>
      </c>
      <c r="G13" s="11">
        <v>45532</v>
      </c>
      <c r="H13" s="11">
        <v>45610</v>
      </c>
      <c r="I13" t="s">
        <v>84</v>
      </c>
    </row>
    <row r="14" spans="1:9" x14ac:dyDescent="0.25">
      <c r="A14" t="s">
        <v>1434</v>
      </c>
      <c r="B14" t="s">
        <v>1435</v>
      </c>
      <c r="C14" t="s">
        <v>107</v>
      </c>
      <c r="D14" t="s">
        <v>57</v>
      </c>
      <c r="E14">
        <v>68.900001525878906</v>
      </c>
      <c r="F14" t="s">
        <v>84</v>
      </c>
      <c r="G14" s="11">
        <v>46151</v>
      </c>
      <c r="H14" s="11">
        <v>46499</v>
      </c>
      <c r="I14" t="s">
        <v>74</v>
      </c>
    </row>
    <row r="15" spans="1:9" x14ac:dyDescent="0.25">
      <c r="A15" t="s">
        <v>1436</v>
      </c>
      <c r="B15" t="s">
        <v>1437</v>
      </c>
      <c r="C15" t="s">
        <v>141</v>
      </c>
      <c r="D15" t="s">
        <v>1412</v>
      </c>
      <c r="E15">
        <v>62.099998474121094</v>
      </c>
      <c r="F15" t="s">
        <v>84</v>
      </c>
      <c r="G15" s="11">
        <v>45860</v>
      </c>
      <c r="H15" s="11">
        <v>46009</v>
      </c>
      <c r="I15" t="s">
        <v>84</v>
      </c>
    </row>
    <row r="16" spans="1:9" x14ac:dyDescent="0.25">
      <c r="A16" t="s">
        <v>1438</v>
      </c>
      <c r="B16" t="s">
        <v>1439</v>
      </c>
      <c r="C16" t="s">
        <v>89</v>
      </c>
      <c r="D16" t="s">
        <v>1412</v>
      </c>
      <c r="E16">
        <v>45.400001525878906</v>
      </c>
      <c r="F16" t="s">
        <v>56</v>
      </c>
      <c r="G16" s="11">
        <v>45535</v>
      </c>
      <c r="H16" s="11">
        <v>45780</v>
      </c>
      <c r="I16" t="s">
        <v>74</v>
      </c>
    </row>
    <row r="17" spans="1:9" x14ac:dyDescent="0.25">
      <c r="A17" t="s">
        <v>1440</v>
      </c>
      <c r="B17" t="s">
        <v>1441</v>
      </c>
      <c r="C17" t="s">
        <v>69</v>
      </c>
      <c r="D17" t="s">
        <v>1427</v>
      </c>
      <c r="E17">
        <v>30.100000381469727</v>
      </c>
      <c r="F17" t="s">
        <v>84</v>
      </c>
      <c r="G17" s="11">
        <v>45810</v>
      </c>
      <c r="H17" s="11">
        <v>46123</v>
      </c>
      <c r="I17" t="s">
        <v>56</v>
      </c>
    </row>
    <row r="18" spans="1:9" x14ac:dyDescent="0.25">
      <c r="A18" t="s">
        <v>1442</v>
      </c>
      <c r="B18" t="s">
        <v>1443</v>
      </c>
      <c r="C18" t="s">
        <v>76</v>
      </c>
      <c r="D18" t="s">
        <v>1427</v>
      </c>
      <c r="E18">
        <v>46.299999237060547</v>
      </c>
      <c r="F18" t="s">
        <v>74</v>
      </c>
      <c r="G18" s="11">
        <v>45987</v>
      </c>
      <c r="H18" s="11">
        <v>46204</v>
      </c>
      <c r="I18" t="s">
        <v>74</v>
      </c>
    </row>
    <row r="19" spans="1:9" x14ac:dyDescent="0.25">
      <c r="A19" t="s">
        <v>1444</v>
      </c>
      <c r="B19" t="s">
        <v>1445</v>
      </c>
      <c r="C19" t="s">
        <v>69</v>
      </c>
      <c r="D19" t="s">
        <v>57</v>
      </c>
      <c r="E19">
        <v>96.699996948242188</v>
      </c>
      <c r="F19" t="s">
        <v>61</v>
      </c>
      <c r="G19" s="11">
        <v>45858</v>
      </c>
      <c r="H19" s="11">
        <v>46049</v>
      </c>
      <c r="I19" t="s">
        <v>61</v>
      </c>
    </row>
    <row r="20" spans="1:9" x14ac:dyDescent="0.25">
      <c r="A20" t="s">
        <v>1446</v>
      </c>
      <c r="B20" t="s">
        <v>1447</v>
      </c>
      <c r="C20" t="s">
        <v>76</v>
      </c>
      <c r="D20" t="s">
        <v>1427</v>
      </c>
      <c r="E20">
        <v>20.700000762939453</v>
      </c>
      <c r="F20" t="s">
        <v>84</v>
      </c>
      <c r="G20" s="11">
        <v>46068</v>
      </c>
      <c r="H20" s="11">
        <v>46361</v>
      </c>
      <c r="I20" t="s">
        <v>56</v>
      </c>
    </row>
    <row r="21" spans="1:9" x14ac:dyDescent="0.25">
      <c r="A21" t="s">
        <v>1448</v>
      </c>
      <c r="B21" t="s">
        <v>1449</v>
      </c>
      <c r="C21" t="s">
        <v>122</v>
      </c>
      <c r="D21" t="s">
        <v>1427</v>
      </c>
      <c r="E21">
        <v>85.800003051757813</v>
      </c>
      <c r="F21" t="s">
        <v>84</v>
      </c>
      <c r="G21" s="11">
        <v>45567</v>
      </c>
      <c r="H21" s="11">
        <v>45789</v>
      </c>
      <c r="I21" t="s">
        <v>61</v>
      </c>
    </row>
    <row r="22" spans="1:9" x14ac:dyDescent="0.25">
      <c r="A22" t="s">
        <v>1450</v>
      </c>
      <c r="B22" t="s">
        <v>1451</v>
      </c>
      <c r="C22" t="s">
        <v>122</v>
      </c>
      <c r="D22" t="s">
        <v>1412</v>
      </c>
      <c r="E22">
        <v>31.600000381469727</v>
      </c>
      <c r="F22" t="s">
        <v>66</v>
      </c>
      <c r="G22" s="11">
        <v>45615</v>
      </c>
      <c r="H22" s="11">
        <v>45845</v>
      </c>
      <c r="I22" t="s">
        <v>84</v>
      </c>
    </row>
    <row r="23" spans="1:9" x14ac:dyDescent="0.25">
      <c r="A23" t="s">
        <v>1452</v>
      </c>
      <c r="B23" t="s">
        <v>1453</v>
      </c>
      <c r="C23" t="s">
        <v>63</v>
      </c>
      <c r="D23" t="s">
        <v>57</v>
      </c>
      <c r="E23">
        <v>26.200000762939453</v>
      </c>
      <c r="F23" t="s">
        <v>84</v>
      </c>
      <c r="G23" s="11">
        <v>45778</v>
      </c>
      <c r="H23" s="11">
        <v>45987</v>
      </c>
      <c r="I23" t="s">
        <v>84</v>
      </c>
    </row>
    <row r="24" spans="1:9" x14ac:dyDescent="0.25">
      <c r="A24" t="s">
        <v>1454</v>
      </c>
      <c r="B24" t="s">
        <v>1455</v>
      </c>
      <c r="C24" t="s">
        <v>107</v>
      </c>
      <c r="D24" t="s">
        <v>57</v>
      </c>
      <c r="E24">
        <v>73.699996948242188</v>
      </c>
      <c r="F24" t="s">
        <v>84</v>
      </c>
      <c r="G24" s="11">
        <v>45744</v>
      </c>
      <c r="H24" s="11">
        <v>45985</v>
      </c>
      <c r="I24" t="s">
        <v>56</v>
      </c>
    </row>
    <row r="25" spans="1:9" x14ac:dyDescent="0.25">
      <c r="A25" t="s">
        <v>1456</v>
      </c>
      <c r="B25" t="s">
        <v>1457</v>
      </c>
      <c r="C25" t="s">
        <v>89</v>
      </c>
      <c r="D25" t="s">
        <v>67</v>
      </c>
      <c r="E25">
        <v>60.5</v>
      </c>
      <c r="F25" t="s">
        <v>84</v>
      </c>
      <c r="G25" s="11">
        <v>45691</v>
      </c>
      <c r="H25" s="11">
        <v>45736</v>
      </c>
      <c r="I25" t="s">
        <v>56</v>
      </c>
    </row>
    <row r="26" spans="1:9" x14ac:dyDescent="0.25">
      <c r="A26" t="s">
        <v>1458</v>
      </c>
      <c r="B26" t="s">
        <v>1459</v>
      </c>
      <c r="C26" t="s">
        <v>63</v>
      </c>
      <c r="D26" t="s">
        <v>67</v>
      </c>
      <c r="E26">
        <v>73.300003051757813</v>
      </c>
      <c r="F26" t="s">
        <v>66</v>
      </c>
      <c r="G26" s="11">
        <v>45926</v>
      </c>
      <c r="H26" s="11">
        <v>46189</v>
      </c>
      <c r="I26" t="s">
        <v>66</v>
      </c>
    </row>
    <row r="27" spans="1:9" x14ac:dyDescent="0.25">
      <c r="A27" t="s">
        <v>1460</v>
      </c>
      <c r="B27" t="s">
        <v>1461</v>
      </c>
      <c r="C27" t="s">
        <v>89</v>
      </c>
      <c r="D27" t="s">
        <v>57</v>
      </c>
      <c r="E27">
        <v>80.900001525878906</v>
      </c>
      <c r="F27" t="s">
        <v>74</v>
      </c>
      <c r="G27" s="11">
        <v>45782</v>
      </c>
      <c r="H27" s="11">
        <v>45861</v>
      </c>
      <c r="I27" t="s">
        <v>61</v>
      </c>
    </row>
    <row r="28" spans="1:9" x14ac:dyDescent="0.25">
      <c r="A28" t="s">
        <v>1462</v>
      </c>
      <c r="B28" t="s">
        <v>1463</v>
      </c>
      <c r="C28" t="s">
        <v>76</v>
      </c>
      <c r="D28" t="s">
        <v>1412</v>
      </c>
      <c r="E28">
        <v>70.599998474121094</v>
      </c>
      <c r="F28" t="s">
        <v>61</v>
      </c>
      <c r="G28" s="11">
        <v>46181</v>
      </c>
      <c r="H28" s="11">
        <v>46508</v>
      </c>
      <c r="I28" t="s">
        <v>66</v>
      </c>
    </row>
    <row r="29" spans="1:9" x14ac:dyDescent="0.25">
      <c r="A29" t="s">
        <v>1464</v>
      </c>
      <c r="B29" t="s">
        <v>1465</v>
      </c>
      <c r="C29" t="s">
        <v>89</v>
      </c>
      <c r="D29" t="s">
        <v>1412</v>
      </c>
      <c r="E29">
        <v>93.599998474121094</v>
      </c>
      <c r="F29" t="s">
        <v>61</v>
      </c>
      <c r="G29" s="11">
        <v>45614</v>
      </c>
      <c r="H29" s="11">
        <v>45636</v>
      </c>
      <c r="I29" t="s">
        <v>84</v>
      </c>
    </row>
    <row r="30" spans="1:9" x14ac:dyDescent="0.25">
      <c r="A30" t="s">
        <v>1466</v>
      </c>
      <c r="B30" t="s">
        <v>1467</v>
      </c>
      <c r="C30" t="s">
        <v>107</v>
      </c>
      <c r="D30" t="s">
        <v>57</v>
      </c>
      <c r="E30">
        <v>37.5</v>
      </c>
      <c r="F30" t="s">
        <v>61</v>
      </c>
      <c r="G30" s="11">
        <v>45618</v>
      </c>
      <c r="H30" s="11">
        <v>45808</v>
      </c>
      <c r="I30" t="s">
        <v>74</v>
      </c>
    </row>
    <row r="31" spans="1:9" x14ac:dyDescent="0.25">
      <c r="A31" t="s">
        <v>1468</v>
      </c>
      <c r="B31" t="s">
        <v>1469</v>
      </c>
      <c r="C31" t="s">
        <v>53</v>
      </c>
      <c r="D31" t="s">
        <v>1427</v>
      </c>
      <c r="E31">
        <v>36.200000762939453</v>
      </c>
      <c r="F31" t="s">
        <v>66</v>
      </c>
      <c r="G31" s="11">
        <v>46029</v>
      </c>
      <c r="H31" s="11">
        <v>46069</v>
      </c>
      <c r="I31" t="s">
        <v>74</v>
      </c>
    </row>
    <row r="32" spans="1:9" x14ac:dyDescent="0.25">
      <c r="A32" t="s">
        <v>1470</v>
      </c>
      <c r="B32" t="s">
        <v>1471</v>
      </c>
      <c r="C32" t="s">
        <v>122</v>
      </c>
      <c r="D32" t="s">
        <v>1427</v>
      </c>
      <c r="E32">
        <v>59.799999237060547</v>
      </c>
      <c r="F32" t="s">
        <v>74</v>
      </c>
      <c r="G32" s="11">
        <v>46080</v>
      </c>
      <c r="H32" s="11">
        <v>46143</v>
      </c>
      <c r="I32" t="s">
        <v>56</v>
      </c>
    </row>
    <row r="33" spans="1:9" x14ac:dyDescent="0.25">
      <c r="A33" t="s">
        <v>1472</v>
      </c>
      <c r="B33" t="s">
        <v>1473</v>
      </c>
      <c r="C33" t="s">
        <v>82</v>
      </c>
      <c r="D33" t="s">
        <v>1427</v>
      </c>
      <c r="E33">
        <v>51.400001525878906</v>
      </c>
      <c r="F33" t="s">
        <v>61</v>
      </c>
      <c r="G33" s="11">
        <v>46225</v>
      </c>
      <c r="H33" s="11">
        <v>46251</v>
      </c>
      <c r="I33" t="s">
        <v>66</v>
      </c>
    </row>
    <row r="34" spans="1:9" x14ac:dyDescent="0.25">
      <c r="A34" t="s">
        <v>1474</v>
      </c>
      <c r="B34" t="s">
        <v>1475</v>
      </c>
      <c r="C34" t="s">
        <v>82</v>
      </c>
      <c r="D34" t="s">
        <v>67</v>
      </c>
      <c r="E34">
        <v>63.799999237060547</v>
      </c>
      <c r="F34" t="s">
        <v>66</v>
      </c>
      <c r="G34" s="11">
        <v>45581</v>
      </c>
      <c r="H34" s="11">
        <v>45831</v>
      </c>
      <c r="I34" t="s">
        <v>66</v>
      </c>
    </row>
    <row r="35" spans="1:9" x14ac:dyDescent="0.25">
      <c r="A35" t="s">
        <v>1476</v>
      </c>
      <c r="B35" t="s">
        <v>1477</v>
      </c>
      <c r="C35" t="s">
        <v>96</v>
      </c>
      <c r="D35" t="s">
        <v>57</v>
      </c>
      <c r="E35">
        <v>31.399999618530273</v>
      </c>
      <c r="F35" t="s">
        <v>74</v>
      </c>
      <c r="G35" s="11">
        <v>45949</v>
      </c>
      <c r="H35" s="11">
        <v>46279</v>
      </c>
      <c r="I35" t="s">
        <v>84</v>
      </c>
    </row>
    <row r="36" spans="1:9" x14ac:dyDescent="0.25">
      <c r="A36" t="s">
        <v>1478</v>
      </c>
      <c r="B36" t="s">
        <v>1479</v>
      </c>
      <c r="C36" t="s">
        <v>107</v>
      </c>
      <c r="D36" t="s">
        <v>1412</v>
      </c>
      <c r="E36">
        <v>89.599998474121094</v>
      </c>
      <c r="F36" t="s">
        <v>66</v>
      </c>
      <c r="G36" s="11">
        <v>45601</v>
      </c>
      <c r="H36" s="11">
        <v>45652</v>
      </c>
      <c r="I36" t="s">
        <v>74</v>
      </c>
    </row>
    <row r="37" spans="1:9" x14ac:dyDescent="0.25">
      <c r="A37" t="s">
        <v>1480</v>
      </c>
      <c r="B37" t="s">
        <v>1481</v>
      </c>
      <c r="C37" t="s">
        <v>122</v>
      </c>
      <c r="D37" t="s">
        <v>1427</v>
      </c>
      <c r="E37">
        <v>73.400001525878906</v>
      </c>
      <c r="F37" t="s">
        <v>66</v>
      </c>
      <c r="G37" s="11">
        <v>46223</v>
      </c>
      <c r="H37" s="11">
        <v>46521</v>
      </c>
      <c r="I37" t="s">
        <v>84</v>
      </c>
    </row>
    <row r="38" spans="1:9" x14ac:dyDescent="0.25">
      <c r="A38" t="s">
        <v>1482</v>
      </c>
      <c r="B38" t="s">
        <v>1483</v>
      </c>
      <c r="C38" t="s">
        <v>107</v>
      </c>
      <c r="D38" t="s">
        <v>67</v>
      </c>
      <c r="E38">
        <v>18.299999237060547</v>
      </c>
      <c r="F38" t="s">
        <v>84</v>
      </c>
      <c r="G38" s="11">
        <v>45976</v>
      </c>
      <c r="H38" s="11">
        <v>46294</v>
      </c>
      <c r="I38" t="s">
        <v>61</v>
      </c>
    </row>
    <row r="39" spans="1:9" x14ac:dyDescent="0.25">
      <c r="A39" t="s">
        <v>1484</v>
      </c>
      <c r="B39" t="s">
        <v>1485</v>
      </c>
      <c r="C39" t="s">
        <v>122</v>
      </c>
      <c r="D39" t="s">
        <v>57</v>
      </c>
      <c r="E39">
        <v>23.899999618530273</v>
      </c>
      <c r="F39" t="s">
        <v>66</v>
      </c>
      <c r="G39" s="11">
        <v>45700</v>
      </c>
      <c r="H39" s="11">
        <v>45795</v>
      </c>
      <c r="I39" t="s">
        <v>74</v>
      </c>
    </row>
    <row r="40" spans="1:9" x14ac:dyDescent="0.25">
      <c r="A40" t="s">
        <v>1486</v>
      </c>
      <c r="B40" t="s">
        <v>1487</v>
      </c>
      <c r="C40" t="s">
        <v>122</v>
      </c>
      <c r="D40" t="s">
        <v>1412</v>
      </c>
      <c r="E40">
        <v>26.399999618530273</v>
      </c>
      <c r="F40" t="s">
        <v>66</v>
      </c>
      <c r="G40" s="11">
        <v>45632</v>
      </c>
      <c r="H40" s="11">
        <v>45799</v>
      </c>
      <c r="I40" t="s">
        <v>66</v>
      </c>
    </row>
    <row r="41" spans="1:9" x14ac:dyDescent="0.25">
      <c r="A41" t="s">
        <v>1488</v>
      </c>
      <c r="B41" t="s">
        <v>1489</v>
      </c>
      <c r="C41" t="s">
        <v>76</v>
      </c>
      <c r="D41" t="s">
        <v>1427</v>
      </c>
      <c r="E41">
        <v>25.700000762939453</v>
      </c>
      <c r="F41" t="s">
        <v>61</v>
      </c>
      <c r="G41" s="11">
        <v>45768</v>
      </c>
      <c r="H41" s="11">
        <v>46114</v>
      </c>
      <c r="I41" t="s">
        <v>56</v>
      </c>
    </row>
    <row r="42" spans="1:9" x14ac:dyDescent="0.25">
      <c r="A42" t="s">
        <v>1490</v>
      </c>
      <c r="B42" t="s">
        <v>1491</v>
      </c>
      <c r="C42" t="s">
        <v>89</v>
      </c>
      <c r="D42" t="s">
        <v>57</v>
      </c>
      <c r="E42">
        <v>40.400001525878906</v>
      </c>
      <c r="F42" t="s">
        <v>74</v>
      </c>
      <c r="G42" s="11">
        <v>45502</v>
      </c>
      <c r="H42" s="11">
        <v>45770</v>
      </c>
      <c r="I42" t="s">
        <v>84</v>
      </c>
    </row>
    <row r="43" spans="1:9" x14ac:dyDescent="0.25">
      <c r="A43" t="s">
        <v>1492</v>
      </c>
      <c r="B43" t="s">
        <v>1493</v>
      </c>
      <c r="C43" t="s">
        <v>53</v>
      </c>
      <c r="D43" t="s">
        <v>1427</v>
      </c>
      <c r="E43">
        <v>62.099998474121094</v>
      </c>
      <c r="F43" t="s">
        <v>84</v>
      </c>
      <c r="G43" s="11">
        <v>46174</v>
      </c>
      <c r="H43" s="11">
        <v>46479</v>
      </c>
      <c r="I43" t="s">
        <v>61</v>
      </c>
    </row>
    <row r="44" spans="1:9" x14ac:dyDescent="0.25">
      <c r="A44" t="s">
        <v>1494</v>
      </c>
      <c r="B44" t="s">
        <v>1495</v>
      </c>
      <c r="C44" t="s">
        <v>96</v>
      </c>
      <c r="D44" t="s">
        <v>57</v>
      </c>
      <c r="E44">
        <v>100.5</v>
      </c>
      <c r="F44" t="s">
        <v>84</v>
      </c>
      <c r="G44" s="11">
        <v>45604</v>
      </c>
      <c r="H44" s="11">
        <v>45890</v>
      </c>
      <c r="I44" t="s">
        <v>84</v>
      </c>
    </row>
    <row r="45" spans="1:9" x14ac:dyDescent="0.25">
      <c r="A45" t="s">
        <v>1496</v>
      </c>
      <c r="B45" t="s">
        <v>1497</v>
      </c>
      <c r="C45" t="s">
        <v>53</v>
      </c>
      <c r="D45" t="s">
        <v>67</v>
      </c>
      <c r="E45">
        <v>47.900001525878906</v>
      </c>
      <c r="F45" t="s">
        <v>74</v>
      </c>
      <c r="G45" s="11">
        <v>45751</v>
      </c>
      <c r="H45" s="11">
        <v>45797</v>
      </c>
      <c r="I45" t="s">
        <v>61</v>
      </c>
    </row>
    <row r="46" spans="1:9" x14ac:dyDescent="0.25">
      <c r="A46" t="s">
        <v>1498</v>
      </c>
      <c r="B46" t="s">
        <v>1499</v>
      </c>
      <c r="C46" t="s">
        <v>82</v>
      </c>
      <c r="D46" t="s">
        <v>57</v>
      </c>
      <c r="E46">
        <v>87.599998474121094</v>
      </c>
      <c r="F46" t="s">
        <v>74</v>
      </c>
      <c r="G46" s="11">
        <v>45777</v>
      </c>
      <c r="H46" s="11">
        <v>46118</v>
      </c>
      <c r="I46" t="s">
        <v>61</v>
      </c>
    </row>
    <row r="47" spans="1:9" x14ac:dyDescent="0.25">
      <c r="A47" t="s">
        <v>1500</v>
      </c>
      <c r="B47" t="s">
        <v>1501</v>
      </c>
      <c r="C47" t="s">
        <v>76</v>
      </c>
      <c r="D47" t="s">
        <v>1427</v>
      </c>
      <c r="E47">
        <v>12.100000381469727</v>
      </c>
      <c r="F47" t="s">
        <v>56</v>
      </c>
      <c r="G47" s="11">
        <v>46069</v>
      </c>
      <c r="H47" s="11">
        <v>46172</v>
      </c>
      <c r="I47" t="s">
        <v>61</v>
      </c>
    </row>
    <row r="48" spans="1:9" x14ac:dyDescent="0.25">
      <c r="A48" t="s">
        <v>1502</v>
      </c>
      <c r="B48" t="s">
        <v>1503</v>
      </c>
      <c r="C48" t="s">
        <v>53</v>
      </c>
      <c r="D48" t="s">
        <v>1412</v>
      </c>
      <c r="E48">
        <v>87.300003051757813</v>
      </c>
      <c r="F48" t="s">
        <v>56</v>
      </c>
      <c r="G48" s="11">
        <v>45676</v>
      </c>
      <c r="H48" s="11">
        <v>45957</v>
      </c>
      <c r="I48" t="s">
        <v>84</v>
      </c>
    </row>
    <row r="49" spans="1:9" x14ac:dyDescent="0.25">
      <c r="A49" t="s">
        <v>1504</v>
      </c>
      <c r="B49" t="s">
        <v>1505</v>
      </c>
      <c r="C49" t="s">
        <v>107</v>
      </c>
      <c r="D49" t="s">
        <v>1427</v>
      </c>
      <c r="E49">
        <v>97.199996948242188</v>
      </c>
      <c r="F49" t="s">
        <v>74</v>
      </c>
      <c r="G49" s="11">
        <v>45599</v>
      </c>
      <c r="H49" s="11">
        <v>45602</v>
      </c>
      <c r="I49" t="s">
        <v>61</v>
      </c>
    </row>
    <row r="50" spans="1:9" x14ac:dyDescent="0.25">
      <c r="A50" t="s">
        <v>1506</v>
      </c>
      <c r="B50" t="s">
        <v>1507</v>
      </c>
      <c r="C50" t="s">
        <v>63</v>
      </c>
      <c r="D50" t="s">
        <v>57</v>
      </c>
      <c r="E50">
        <v>26.100000381469727</v>
      </c>
      <c r="F50" t="s">
        <v>74</v>
      </c>
      <c r="G50" s="11">
        <v>45504</v>
      </c>
      <c r="H50" s="11">
        <v>45549</v>
      </c>
      <c r="I50" t="s">
        <v>74</v>
      </c>
    </row>
    <row r="51" spans="1:9" x14ac:dyDescent="0.25">
      <c r="A51" t="s">
        <v>1508</v>
      </c>
      <c r="B51" t="s">
        <v>1509</v>
      </c>
      <c r="C51" t="s">
        <v>69</v>
      </c>
      <c r="D51" t="s">
        <v>57</v>
      </c>
      <c r="E51">
        <v>13.5</v>
      </c>
      <c r="F51" t="s">
        <v>74</v>
      </c>
      <c r="G51" s="11">
        <v>45546</v>
      </c>
      <c r="H51" s="11">
        <v>45640</v>
      </c>
      <c r="I51" t="s">
        <v>84</v>
      </c>
    </row>
    <row r="52" spans="1:9" x14ac:dyDescent="0.25">
      <c r="A52" t="s">
        <v>1510</v>
      </c>
      <c r="B52" t="s">
        <v>1511</v>
      </c>
      <c r="C52" t="s">
        <v>122</v>
      </c>
      <c r="D52" t="s">
        <v>67</v>
      </c>
      <c r="E52">
        <v>35.099998474121094</v>
      </c>
      <c r="F52" t="s">
        <v>84</v>
      </c>
      <c r="G52" s="11">
        <v>46009</v>
      </c>
      <c r="H52" s="11">
        <v>46036</v>
      </c>
      <c r="I52" t="s">
        <v>61</v>
      </c>
    </row>
    <row r="53" spans="1:9" x14ac:dyDescent="0.25">
      <c r="A53" t="s">
        <v>1512</v>
      </c>
      <c r="B53" t="s">
        <v>1513</v>
      </c>
      <c r="C53" t="s">
        <v>63</v>
      </c>
      <c r="D53" t="s">
        <v>1427</v>
      </c>
      <c r="E53">
        <v>40</v>
      </c>
      <c r="F53" t="s">
        <v>66</v>
      </c>
      <c r="G53" s="11">
        <v>46204</v>
      </c>
      <c r="H53" s="11">
        <v>46293</v>
      </c>
      <c r="I53" t="s">
        <v>61</v>
      </c>
    </row>
    <row r="54" spans="1:9" x14ac:dyDescent="0.25">
      <c r="A54" t="s">
        <v>1514</v>
      </c>
      <c r="B54" t="s">
        <v>1515</v>
      </c>
      <c r="C54" t="s">
        <v>89</v>
      </c>
      <c r="D54" t="s">
        <v>1427</v>
      </c>
      <c r="E54">
        <v>86.300003051757813</v>
      </c>
      <c r="F54" t="s">
        <v>84</v>
      </c>
      <c r="G54" s="11">
        <v>45570</v>
      </c>
      <c r="H54" s="11">
        <v>45920</v>
      </c>
      <c r="I54" t="s">
        <v>56</v>
      </c>
    </row>
    <row r="55" spans="1:9" x14ac:dyDescent="0.25">
      <c r="A55" t="s">
        <v>1516</v>
      </c>
      <c r="B55" t="s">
        <v>1517</v>
      </c>
      <c r="C55" t="s">
        <v>82</v>
      </c>
      <c r="D55" t="s">
        <v>67</v>
      </c>
      <c r="E55">
        <v>23.5</v>
      </c>
      <c r="F55" t="s">
        <v>84</v>
      </c>
      <c r="G55" s="11">
        <v>46224</v>
      </c>
      <c r="H55" s="11">
        <v>46378</v>
      </c>
      <c r="I55" t="s">
        <v>66</v>
      </c>
    </row>
    <row r="56" spans="1:9" x14ac:dyDescent="0.25">
      <c r="A56" t="s">
        <v>1518</v>
      </c>
      <c r="B56" t="s">
        <v>1519</v>
      </c>
      <c r="C56" t="s">
        <v>76</v>
      </c>
      <c r="D56" t="s">
        <v>1427</v>
      </c>
      <c r="E56">
        <v>83.300003051757813</v>
      </c>
      <c r="F56" t="s">
        <v>61</v>
      </c>
      <c r="G56" s="11">
        <v>46031</v>
      </c>
      <c r="H56" s="11">
        <v>46161</v>
      </c>
      <c r="I56" t="s">
        <v>74</v>
      </c>
    </row>
    <row r="57" spans="1:9" x14ac:dyDescent="0.25">
      <c r="A57" t="s">
        <v>1520</v>
      </c>
      <c r="B57" t="s">
        <v>1521</v>
      </c>
      <c r="C57" t="s">
        <v>122</v>
      </c>
      <c r="D57" t="s">
        <v>57</v>
      </c>
      <c r="E57">
        <v>15.600000381469727</v>
      </c>
      <c r="F57" t="s">
        <v>66</v>
      </c>
      <c r="G57" s="11">
        <v>45535</v>
      </c>
      <c r="H57" s="11">
        <v>45716</v>
      </c>
      <c r="I57" t="s">
        <v>66</v>
      </c>
    </row>
    <row r="58" spans="1:9" x14ac:dyDescent="0.25">
      <c r="A58" t="s">
        <v>1522</v>
      </c>
      <c r="B58" t="s">
        <v>1523</v>
      </c>
      <c r="C58" t="s">
        <v>69</v>
      </c>
      <c r="D58" t="s">
        <v>1427</v>
      </c>
      <c r="E58">
        <v>43.5</v>
      </c>
      <c r="F58" t="s">
        <v>74</v>
      </c>
      <c r="G58" s="11">
        <v>46135</v>
      </c>
      <c r="H58" s="11">
        <v>46170</v>
      </c>
      <c r="I58" t="s">
        <v>74</v>
      </c>
    </row>
    <row r="59" spans="1:9" x14ac:dyDescent="0.25">
      <c r="A59" t="s">
        <v>1524</v>
      </c>
      <c r="B59" t="s">
        <v>1525</v>
      </c>
      <c r="C59" t="s">
        <v>69</v>
      </c>
      <c r="D59" t="s">
        <v>67</v>
      </c>
      <c r="E59">
        <v>90.5</v>
      </c>
      <c r="F59" t="s">
        <v>66</v>
      </c>
      <c r="G59" s="11">
        <v>46072</v>
      </c>
      <c r="H59" s="11">
        <v>46227</v>
      </c>
      <c r="I59" t="s">
        <v>66</v>
      </c>
    </row>
    <row r="60" spans="1:9" x14ac:dyDescent="0.25">
      <c r="A60" t="s">
        <v>1526</v>
      </c>
      <c r="B60" t="s">
        <v>1527</v>
      </c>
      <c r="C60" t="s">
        <v>107</v>
      </c>
      <c r="D60" t="s">
        <v>1412</v>
      </c>
      <c r="E60">
        <v>98.199996948242188</v>
      </c>
      <c r="F60" t="s">
        <v>56</v>
      </c>
      <c r="G60" s="11">
        <v>45902</v>
      </c>
      <c r="H60" s="11">
        <v>45999</v>
      </c>
      <c r="I60" t="s">
        <v>74</v>
      </c>
    </row>
    <row r="61" spans="1:9" x14ac:dyDescent="0.25">
      <c r="A61" t="s">
        <v>1528</v>
      </c>
      <c r="B61" t="s">
        <v>1529</v>
      </c>
      <c r="C61" t="s">
        <v>96</v>
      </c>
      <c r="D61" t="s">
        <v>1412</v>
      </c>
      <c r="E61">
        <v>72.300003051757813</v>
      </c>
      <c r="F61" t="s">
        <v>74</v>
      </c>
      <c r="G61" s="11">
        <v>45941</v>
      </c>
      <c r="H61" s="11">
        <v>46093</v>
      </c>
      <c r="I61" t="s">
        <v>74</v>
      </c>
    </row>
    <row r="62" spans="1:9" x14ac:dyDescent="0.25">
      <c r="A62" t="s">
        <v>1530</v>
      </c>
      <c r="B62" t="s">
        <v>1531</v>
      </c>
      <c r="C62" t="s">
        <v>82</v>
      </c>
      <c r="D62" t="s">
        <v>57</v>
      </c>
      <c r="E62">
        <v>37.099998474121094</v>
      </c>
      <c r="F62" t="s">
        <v>74</v>
      </c>
      <c r="G62" s="11">
        <v>45900</v>
      </c>
      <c r="H62" s="11">
        <v>45971</v>
      </c>
      <c r="I62" t="s">
        <v>61</v>
      </c>
    </row>
    <row r="63" spans="1:9" x14ac:dyDescent="0.25">
      <c r="A63" t="s">
        <v>1532</v>
      </c>
      <c r="B63" t="s">
        <v>1533</v>
      </c>
      <c r="C63" t="s">
        <v>53</v>
      </c>
      <c r="D63" t="s">
        <v>67</v>
      </c>
      <c r="E63">
        <v>80.800003051757813</v>
      </c>
      <c r="F63" t="s">
        <v>74</v>
      </c>
      <c r="G63" s="11">
        <v>45981</v>
      </c>
      <c r="H63" s="11">
        <v>46320</v>
      </c>
      <c r="I63" t="s">
        <v>66</v>
      </c>
    </row>
    <row r="64" spans="1:9" x14ac:dyDescent="0.25">
      <c r="A64" t="s">
        <v>1534</v>
      </c>
      <c r="B64" t="s">
        <v>1535</v>
      </c>
      <c r="C64" t="s">
        <v>69</v>
      </c>
      <c r="D64" t="s">
        <v>57</v>
      </c>
      <c r="E64">
        <v>37</v>
      </c>
      <c r="F64" t="s">
        <v>84</v>
      </c>
      <c r="G64" s="11">
        <v>45783</v>
      </c>
      <c r="H64" s="11">
        <v>45953</v>
      </c>
      <c r="I64" t="s">
        <v>61</v>
      </c>
    </row>
    <row r="65" spans="1:9" x14ac:dyDescent="0.25">
      <c r="A65" t="s">
        <v>1536</v>
      </c>
      <c r="B65" t="s">
        <v>1537</v>
      </c>
      <c r="C65" t="s">
        <v>69</v>
      </c>
      <c r="D65" t="s">
        <v>67</v>
      </c>
      <c r="E65">
        <v>76.5</v>
      </c>
      <c r="F65" t="s">
        <v>66</v>
      </c>
      <c r="G65" s="11">
        <v>46123</v>
      </c>
      <c r="H65" s="11">
        <v>46366</v>
      </c>
      <c r="I65" t="s">
        <v>56</v>
      </c>
    </row>
    <row r="66" spans="1:9" x14ac:dyDescent="0.25">
      <c r="A66" t="s">
        <v>1538</v>
      </c>
      <c r="B66" t="s">
        <v>1539</v>
      </c>
      <c r="C66" t="s">
        <v>63</v>
      </c>
      <c r="D66" t="s">
        <v>1427</v>
      </c>
      <c r="E66">
        <v>24.399999618530273</v>
      </c>
      <c r="F66" t="s">
        <v>84</v>
      </c>
      <c r="G66" s="11">
        <v>45754</v>
      </c>
      <c r="H66" s="11">
        <v>46085</v>
      </c>
      <c r="I66" t="s">
        <v>61</v>
      </c>
    </row>
    <row r="67" spans="1:9" x14ac:dyDescent="0.25">
      <c r="A67" t="s">
        <v>1540</v>
      </c>
      <c r="B67" t="s">
        <v>1541</v>
      </c>
      <c r="C67" t="s">
        <v>122</v>
      </c>
      <c r="D67" t="s">
        <v>57</v>
      </c>
      <c r="E67">
        <v>42.799999237060547</v>
      </c>
      <c r="F67" t="s">
        <v>61</v>
      </c>
      <c r="G67" s="11">
        <v>46111</v>
      </c>
      <c r="H67" s="11">
        <v>46325</v>
      </c>
      <c r="I67" t="s">
        <v>84</v>
      </c>
    </row>
    <row r="68" spans="1:9" x14ac:dyDescent="0.25">
      <c r="A68" t="s">
        <v>1542</v>
      </c>
      <c r="B68" t="s">
        <v>1543</v>
      </c>
      <c r="C68" t="s">
        <v>89</v>
      </c>
      <c r="D68" t="s">
        <v>67</v>
      </c>
      <c r="E68">
        <v>39.299999237060547</v>
      </c>
      <c r="F68" t="s">
        <v>66</v>
      </c>
      <c r="G68" s="11">
        <v>45832</v>
      </c>
      <c r="H68" s="11">
        <v>46054</v>
      </c>
      <c r="I68" t="s">
        <v>84</v>
      </c>
    </row>
    <row r="69" spans="1:9" x14ac:dyDescent="0.25">
      <c r="A69" t="s">
        <v>1544</v>
      </c>
      <c r="B69" t="s">
        <v>1545</v>
      </c>
      <c r="C69" t="s">
        <v>69</v>
      </c>
      <c r="D69" t="s">
        <v>67</v>
      </c>
      <c r="E69">
        <v>76.599998474121094</v>
      </c>
      <c r="F69" t="s">
        <v>61</v>
      </c>
      <c r="G69" s="11">
        <v>45509</v>
      </c>
      <c r="H69" s="11">
        <v>45836</v>
      </c>
      <c r="I69" t="s">
        <v>56</v>
      </c>
    </row>
    <row r="70" spans="1:9" x14ac:dyDescent="0.25">
      <c r="A70" t="s">
        <v>1546</v>
      </c>
      <c r="B70" t="s">
        <v>1547</v>
      </c>
      <c r="C70" t="s">
        <v>96</v>
      </c>
      <c r="D70" t="s">
        <v>57</v>
      </c>
      <c r="E70">
        <v>53.700000762939453</v>
      </c>
      <c r="F70" t="s">
        <v>61</v>
      </c>
      <c r="G70" s="11">
        <v>45856</v>
      </c>
      <c r="H70" s="11">
        <v>46182</v>
      </c>
      <c r="I70" t="s">
        <v>66</v>
      </c>
    </row>
    <row r="71" spans="1:9" x14ac:dyDescent="0.25">
      <c r="A71" t="s">
        <v>1548</v>
      </c>
      <c r="B71" t="s">
        <v>1549</v>
      </c>
      <c r="C71" t="s">
        <v>69</v>
      </c>
      <c r="D71" t="s">
        <v>1427</v>
      </c>
      <c r="E71">
        <v>24.799999237060547</v>
      </c>
      <c r="F71" t="s">
        <v>66</v>
      </c>
      <c r="G71" s="11">
        <v>45889</v>
      </c>
      <c r="H71" s="11">
        <v>45909</v>
      </c>
      <c r="I71" t="s">
        <v>66</v>
      </c>
    </row>
    <row r="72" spans="1:9" x14ac:dyDescent="0.25">
      <c r="A72" t="s">
        <v>1550</v>
      </c>
      <c r="B72" t="s">
        <v>1551</v>
      </c>
      <c r="C72" t="s">
        <v>141</v>
      </c>
      <c r="D72" t="s">
        <v>67</v>
      </c>
      <c r="E72">
        <v>62.299999237060547</v>
      </c>
      <c r="F72" t="s">
        <v>56</v>
      </c>
      <c r="G72" s="11">
        <v>46210</v>
      </c>
      <c r="H72" s="11">
        <v>46337</v>
      </c>
      <c r="I72" t="s">
        <v>61</v>
      </c>
    </row>
    <row r="73" spans="1:9" x14ac:dyDescent="0.25">
      <c r="A73" t="s">
        <v>1552</v>
      </c>
      <c r="B73" t="s">
        <v>1553</v>
      </c>
      <c r="C73" t="s">
        <v>82</v>
      </c>
      <c r="D73" t="s">
        <v>57</v>
      </c>
      <c r="E73">
        <v>29.899999618530273</v>
      </c>
      <c r="F73" t="s">
        <v>74</v>
      </c>
      <c r="G73" s="11">
        <v>45720</v>
      </c>
      <c r="H73" s="11">
        <v>46000</v>
      </c>
      <c r="I73" t="s">
        <v>84</v>
      </c>
    </row>
    <row r="74" spans="1:9" x14ac:dyDescent="0.25">
      <c r="A74" t="s">
        <v>1554</v>
      </c>
      <c r="B74" t="s">
        <v>1555</v>
      </c>
      <c r="C74" t="s">
        <v>107</v>
      </c>
      <c r="D74" t="s">
        <v>1412</v>
      </c>
      <c r="E74">
        <v>82.5</v>
      </c>
      <c r="F74" t="s">
        <v>74</v>
      </c>
      <c r="G74" s="11">
        <v>45637</v>
      </c>
      <c r="H74" s="11">
        <v>45931</v>
      </c>
      <c r="I74" t="s">
        <v>66</v>
      </c>
    </row>
    <row r="75" spans="1:9" x14ac:dyDescent="0.25">
      <c r="A75" t="s">
        <v>1556</v>
      </c>
      <c r="B75" t="s">
        <v>1557</v>
      </c>
      <c r="C75" t="s">
        <v>122</v>
      </c>
      <c r="D75" t="s">
        <v>67</v>
      </c>
      <c r="E75">
        <v>75.199996948242188</v>
      </c>
      <c r="F75" t="s">
        <v>66</v>
      </c>
      <c r="G75" s="11">
        <v>46208</v>
      </c>
      <c r="H75" s="11">
        <v>46569</v>
      </c>
      <c r="I75" t="s">
        <v>74</v>
      </c>
    </row>
    <row r="76" spans="1:9" x14ac:dyDescent="0.25">
      <c r="A76" t="s">
        <v>1558</v>
      </c>
      <c r="B76" t="s">
        <v>1559</v>
      </c>
      <c r="C76" t="s">
        <v>82</v>
      </c>
      <c r="D76" t="s">
        <v>67</v>
      </c>
      <c r="E76">
        <v>63.400001525878906</v>
      </c>
      <c r="F76" t="s">
        <v>56</v>
      </c>
      <c r="G76" s="11">
        <v>45616</v>
      </c>
      <c r="H76" s="11">
        <v>45743</v>
      </c>
      <c r="I76" t="s">
        <v>74</v>
      </c>
    </row>
    <row r="77" spans="1:9" x14ac:dyDescent="0.25">
      <c r="A77" t="s">
        <v>1560</v>
      </c>
      <c r="B77" t="s">
        <v>1561</v>
      </c>
      <c r="C77" t="s">
        <v>53</v>
      </c>
      <c r="D77" t="s">
        <v>1412</v>
      </c>
      <c r="E77">
        <v>75.699996948242188</v>
      </c>
      <c r="F77" t="s">
        <v>74</v>
      </c>
      <c r="G77" s="11">
        <v>46186</v>
      </c>
      <c r="H77" s="11">
        <v>46526</v>
      </c>
      <c r="I77" t="s">
        <v>74</v>
      </c>
    </row>
    <row r="78" spans="1:9" x14ac:dyDescent="0.25">
      <c r="A78" t="s">
        <v>1562</v>
      </c>
      <c r="B78" t="s">
        <v>1563</v>
      </c>
      <c r="C78" t="s">
        <v>82</v>
      </c>
      <c r="D78" t="s">
        <v>57</v>
      </c>
      <c r="E78">
        <v>68</v>
      </c>
      <c r="F78" t="s">
        <v>74</v>
      </c>
      <c r="G78" s="11">
        <v>45985</v>
      </c>
      <c r="H78" s="11">
        <v>46096</v>
      </c>
      <c r="I78" t="s">
        <v>56</v>
      </c>
    </row>
    <row r="79" spans="1:9" x14ac:dyDescent="0.25">
      <c r="A79" t="s">
        <v>1564</v>
      </c>
      <c r="B79" t="s">
        <v>1565</v>
      </c>
      <c r="C79" t="s">
        <v>141</v>
      </c>
      <c r="D79" t="s">
        <v>1427</v>
      </c>
      <c r="E79">
        <v>60.200000762939453</v>
      </c>
      <c r="F79" t="s">
        <v>74</v>
      </c>
      <c r="G79" s="11">
        <v>45765</v>
      </c>
      <c r="H79" s="11">
        <v>45782</v>
      </c>
      <c r="I79" t="s">
        <v>84</v>
      </c>
    </row>
    <row r="80" spans="1:9" x14ac:dyDescent="0.25">
      <c r="A80" t="s">
        <v>1566</v>
      </c>
      <c r="B80" t="s">
        <v>1567</v>
      </c>
      <c r="C80" t="s">
        <v>53</v>
      </c>
      <c r="D80" t="s">
        <v>1412</v>
      </c>
      <c r="E80">
        <v>90.900001525878906</v>
      </c>
      <c r="F80" t="s">
        <v>84</v>
      </c>
      <c r="G80" s="11">
        <v>45670</v>
      </c>
      <c r="H80" s="11">
        <v>45764</v>
      </c>
      <c r="I80" t="s">
        <v>84</v>
      </c>
    </row>
    <row r="81" spans="1:9" x14ac:dyDescent="0.25">
      <c r="A81" t="s">
        <v>1568</v>
      </c>
      <c r="B81" t="s">
        <v>1569</v>
      </c>
      <c r="C81" t="s">
        <v>82</v>
      </c>
      <c r="D81" t="s">
        <v>67</v>
      </c>
      <c r="E81">
        <v>80.400001525878906</v>
      </c>
      <c r="F81" t="s">
        <v>61</v>
      </c>
      <c r="G81" s="11">
        <v>45605</v>
      </c>
      <c r="H81" s="11">
        <v>45622</v>
      </c>
      <c r="I81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E940-0C13-45CC-ABA4-5927B5F57BCC}">
  <sheetPr codeName="Sheet8"/>
  <dimension ref="A1:I51"/>
  <sheetViews>
    <sheetView workbookViewId="0"/>
  </sheetViews>
  <sheetFormatPr defaultRowHeight="15" x14ac:dyDescent="0.25"/>
  <cols>
    <col min="1" max="9" width="18.7109375" customWidth="1"/>
  </cols>
  <sheetData>
    <row r="1" spans="1:9" x14ac:dyDescent="0.25">
      <c r="A1" s="9" t="s">
        <v>1570</v>
      </c>
      <c r="B1" s="9" t="s">
        <v>1571</v>
      </c>
      <c r="C1" s="9" t="s">
        <v>1572</v>
      </c>
      <c r="D1" s="9" t="s">
        <v>48</v>
      </c>
      <c r="E1" s="9" t="s">
        <v>1573</v>
      </c>
      <c r="F1" s="9" t="s">
        <v>1574</v>
      </c>
      <c r="G1" s="9" t="s">
        <v>50</v>
      </c>
      <c r="H1" s="9" t="s">
        <v>354</v>
      </c>
      <c r="I1" s="9" t="s">
        <v>351</v>
      </c>
    </row>
    <row r="2" spans="1:9" x14ac:dyDescent="0.25">
      <c r="A2" t="s">
        <v>1575</v>
      </c>
      <c r="B2" t="s">
        <v>1576</v>
      </c>
      <c r="C2" t="s">
        <v>1577</v>
      </c>
      <c r="D2" t="s">
        <v>66</v>
      </c>
      <c r="E2" s="11">
        <v>46076</v>
      </c>
      <c r="F2" s="11">
        <v>46391</v>
      </c>
      <c r="G2" s="11">
        <v>46756</v>
      </c>
      <c r="H2" t="s">
        <v>55</v>
      </c>
      <c r="I2" t="s">
        <v>369</v>
      </c>
    </row>
    <row r="3" spans="1:9" x14ac:dyDescent="0.25">
      <c r="A3" t="s">
        <v>1578</v>
      </c>
      <c r="B3" t="s">
        <v>1579</v>
      </c>
      <c r="C3" t="s">
        <v>1580</v>
      </c>
      <c r="D3" t="s">
        <v>61</v>
      </c>
      <c r="E3" s="11">
        <v>46042</v>
      </c>
      <c r="F3" s="11">
        <v>46067</v>
      </c>
      <c r="G3" s="11">
        <v>46432</v>
      </c>
      <c r="H3" t="s">
        <v>112</v>
      </c>
      <c r="I3" t="s">
        <v>362</v>
      </c>
    </row>
    <row r="4" spans="1:9" x14ac:dyDescent="0.25">
      <c r="A4" t="s">
        <v>1581</v>
      </c>
      <c r="B4" t="s">
        <v>1576</v>
      </c>
      <c r="C4" t="s">
        <v>1582</v>
      </c>
      <c r="D4" t="s">
        <v>84</v>
      </c>
      <c r="E4" s="11">
        <v>46081</v>
      </c>
      <c r="F4" s="11">
        <v>46297</v>
      </c>
      <c r="G4" s="11">
        <v>46662</v>
      </c>
      <c r="H4" t="s">
        <v>125</v>
      </c>
      <c r="I4" t="s">
        <v>373</v>
      </c>
    </row>
    <row r="5" spans="1:9" x14ac:dyDescent="0.25">
      <c r="A5" t="s">
        <v>1583</v>
      </c>
      <c r="B5" t="s">
        <v>1579</v>
      </c>
      <c r="C5" t="s">
        <v>1584</v>
      </c>
      <c r="D5" t="s">
        <v>74</v>
      </c>
      <c r="E5" s="11">
        <v>45692</v>
      </c>
      <c r="F5" s="11">
        <v>46009</v>
      </c>
      <c r="G5" s="11">
        <v>46374</v>
      </c>
      <c r="H5" t="s">
        <v>125</v>
      </c>
      <c r="I5" t="s">
        <v>365</v>
      </c>
    </row>
    <row r="6" spans="1:9" x14ac:dyDescent="0.25">
      <c r="A6" t="s">
        <v>1585</v>
      </c>
      <c r="B6" t="s">
        <v>1586</v>
      </c>
      <c r="C6" t="s">
        <v>1580</v>
      </c>
      <c r="D6" t="s">
        <v>84</v>
      </c>
      <c r="E6" s="11">
        <v>45549</v>
      </c>
      <c r="F6" s="11">
        <v>45612</v>
      </c>
      <c r="G6" s="11">
        <v>45977</v>
      </c>
      <c r="H6" t="s">
        <v>73</v>
      </c>
      <c r="I6" t="s">
        <v>358</v>
      </c>
    </row>
    <row r="7" spans="1:9" x14ac:dyDescent="0.25">
      <c r="A7" t="s">
        <v>1587</v>
      </c>
      <c r="B7" t="s">
        <v>372</v>
      </c>
      <c r="C7" t="s">
        <v>1588</v>
      </c>
      <c r="D7" t="s">
        <v>84</v>
      </c>
      <c r="E7" s="11">
        <v>45675</v>
      </c>
      <c r="F7" s="11">
        <v>45713</v>
      </c>
      <c r="G7" s="11">
        <v>46078</v>
      </c>
      <c r="H7" t="s">
        <v>98</v>
      </c>
      <c r="I7" t="s">
        <v>362</v>
      </c>
    </row>
    <row r="8" spans="1:9" x14ac:dyDescent="0.25">
      <c r="A8" t="s">
        <v>1589</v>
      </c>
      <c r="B8" t="s">
        <v>1590</v>
      </c>
      <c r="C8" t="s">
        <v>1591</v>
      </c>
      <c r="D8" t="s">
        <v>66</v>
      </c>
      <c r="E8" s="11">
        <v>45811</v>
      </c>
      <c r="F8" s="11">
        <v>45842</v>
      </c>
      <c r="G8" s="11">
        <v>46207</v>
      </c>
      <c r="H8" t="s">
        <v>65</v>
      </c>
      <c r="I8" t="s">
        <v>362</v>
      </c>
    </row>
    <row r="9" spans="1:9" x14ac:dyDescent="0.25">
      <c r="A9" t="s">
        <v>1592</v>
      </c>
      <c r="B9" t="s">
        <v>1593</v>
      </c>
      <c r="C9" t="s">
        <v>1594</v>
      </c>
      <c r="D9" t="s">
        <v>56</v>
      </c>
      <c r="E9" s="11">
        <v>45774</v>
      </c>
      <c r="F9" s="11">
        <v>46093</v>
      </c>
      <c r="G9" s="11">
        <v>46458</v>
      </c>
      <c r="H9" t="s">
        <v>125</v>
      </c>
      <c r="I9" t="s">
        <v>365</v>
      </c>
    </row>
    <row r="10" spans="1:9" x14ac:dyDescent="0.25">
      <c r="A10" t="s">
        <v>1595</v>
      </c>
      <c r="B10" t="s">
        <v>1596</v>
      </c>
      <c r="C10" t="s">
        <v>1597</v>
      </c>
      <c r="D10" t="s">
        <v>56</v>
      </c>
      <c r="E10" s="11">
        <v>45828</v>
      </c>
      <c r="F10" s="11">
        <v>45846</v>
      </c>
      <c r="G10" s="11">
        <v>46211</v>
      </c>
      <c r="H10" t="s">
        <v>112</v>
      </c>
      <c r="I10" t="s">
        <v>358</v>
      </c>
    </row>
    <row r="11" spans="1:9" x14ac:dyDescent="0.25">
      <c r="A11" t="s">
        <v>1598</v>
      </c>
      <c r="B11" t="s">
        <v>1599</v>
      </c>
      <c r="C11" t="s">
        <v>1600</v>
      </c>
      <c r="D11" t="s">
        <v>84</v>
      </c>
      <c r="E11" s="11">
        <v>45585</v>
      </c>
      <c r="F11" s="11">
        <v>45776</v>
      </c>
      <c r="G11" s="11">
        <v>46141</v>
      </c>
      <c r="H11" t="s">
        <v>159</v>
      </c>
      <c r="I11" t="s">
        <v>362</v>
      </c>
    </row>
    <row r="12" spans="1:9" x14ac:dyDescent="0.25">
      <c r="A12" t="s">
        <v>1601</v>
      </c>
      <c r="B12" t="s">
        <v>1599</v>
      </c>
      <c r="C12" t="s">
        <v>1602</v>
      </c>
      <c r="D12" t="s">
        <v>74</v>
      </c>
      <c r="E12" s="11">
        <v>45835</v>
      </c>
      <c r="F12" s="11">
        <v>45849</v>
      </c>
      <c r="G12" s="11">
        <v>46214</v>
      </c>
      <c r="H12" t="s">
        <v>55</v>
      </c>
      <c r="I12" t="s">
        <v>391</v>
      </c>
    </row>
    <row r="13" spans="1:9" x14ac:dyDescent="0.25">
      <c r="A13" t="s">
        <v>1603</v>
      </c>
      <c r="B13" t="s">
        <v>1604</v>
      </c>
      <c r="C13" t="s">
        <v>1605</v>
      </c>
      <c r="D13" t="s">
        <v>66</v>
      </c>
      <c r="E13" s="11">
        <v>45985</v>
      </c>
      <c r="F13" s="11">
        <v>46224</v>
      </c>
      <c r="G13" s="11">
        <v>46589</v>
      </c>
      <c r="H13" t="s">
        <v>73</v>
      </c>
      <c r="I13" t="s">
        <v>362</v>
      </c>
    </row>
    <row r="14" spans="1:9" x14ac:dyDescent="0.25">
      <c r="A14" t="s">
        <v>1606</v>
      </c>
      <c r="B14" t="s">
        <v>410</v>
      </c>
      <c r="C14" t="s">
        <v>1607</v>
      </c>
      <c r="D14" t="s">
        <v>74</v>
      </c>
      <c r="E14" s="11">
        <v>45887</v>
      </c>
      <c r="F14" s="11">
        <v>45986</v>
      </c>
      <c r="G14" s="11">
        <v>46351</v>
      </c>
      <c r="H14" t="s">
        <v>91</v>
      </c>
      <c r="I14" t="s">
        <v>369</v>
      </c>
    </row>
    <row r="15" spans="1:9" x14ac:dyDescent="0.25">
      <c r="A15" t="s">
        <v>1608</v>
      </c>
      <c r="B15" t="s">
        <v>1604</v>
      </c>
      <c r="C15" t="s">
        <v>1609</v>
      </c>
      <c r="D15" t="s">
        <v>61</v>
      </c>
      <c r="E15" s="11">
        <v>46205</v>
      </c>
      <c r="F15" s="11">
        <v>46246</v>
      </c>
      <c r="G15" s="11">
        <v>46611</v>
      </c>
      <c r="H15" t="s">
        <v>73</v>
      </c>
      <c r="I15" t="s">
        <v>362</v>
      </c>
    </row>
    <row r="16" spans="1:9" x14ac:dyDescent="0.25">
      <c r="A16" t="s">
        <v>1610</v>
      </c>
      <c r="B16" t="s">
        <v>410</v>
      </c>
      <c r="C16" t="s">
        <v>1588</v>
      </c>
      <c r="D16" t="s">
        <v>56</v>
      </c>
      <c r="E16" s="11">
        <v>45856</v>
      </c>
      <c r="F16" s="11">
        <v>45939</v>
      </c>
      <c r="G16" s="11">
        <v>46304</v>
      </c>
      <c r="H16" t="s">
        <v>98</v>
      </c>
      <c r="I16" t="s">
        <v>365</v>
      </c>
    </row>
    <row r="17" spans="1:9" x14ac:dyDescent="0.25">
      <c r="A17" t="s">
        <v>1611</v>
      </c>
      <c r="B17" t="s">
        <v>1586</v>
      </c>
      <c r="C17" t="s">
        <v>1597</v>
      </c>
      <c r="D17" t="s">
        <v>84</v>
      </c>
      <c r="E17" s="11">
        <v>46027</v>
      </c>
      <c r="F17" s="11">
        <v>46390</v>
      </c>
      <c r="G17" s="11">
        <v>46755</v>
      </c>
      <c r="H17" t="s">
        <v>98</v>
      </c>
      <c r="I17" t="s">
        <v>362</v>
      </c>
    </row>
    <row r="18" spans="1:9" x14ac:dyDescent="0.25">
      <c r="A18" t="s">
        <v>1612</v>
      </c>
      <c r="B18" t="s">
        <v>1586</v>
      </c>
      <c r="C18" t="s">
        <v>1613</v>
      </c>
      <c r="D18" t="s">
        <v>61</v>
      </c>
      <c r="E18" s="11">
        <v>46160</v>
      </c>
      <c r="F18" s="11">
        <v>46387</v>
      </c>
      <c r="G18" s="11">
        <v>46752</v>
      </c>
      <c r="H18" t="s">
        <v>159</v>
      </c>
      <c r="I18" t="s">
        <v>373</v>
      </c>
    </row>
    <row r="19" spans="1:9" x14ac:dyDescent="0.25">
      <c r="A19" t="s">
        <v>1614</v>
      </c>
      <c r="B19" t="s">
        <v>1604</v>
      </c>
      <c r="C19" t="s">
        <v>1615</v>
      </c>
      <c r="D19" t="s">
        <v>66</v>
      </c>
      <c r="E19" s="11">
        <v>45778</v>
      </c>
      <c r="F19" s="11">
        <v>46015</v>
      </c>
      <c r="G19" s="11">
        <v>46380</v>
      </c>
      <c r="H19" t="s">
        <v>98</v>
      </c>
      <c r="I19" t="s">
        <v>419</v>
      </c>
    </row>
    <row r="20" spans="1:9" x14ac:dyDescent="0.25">
      <c r="A20" t="s">
        <v>1616</v>
      </c>
      <c r="B20" t="s">
        <v>1579</v>
      </c>
      <c r="C20" t="s">
        <v>1617</v>
      </c>
      <c r="D20" t="s">
        <v>61</v>
      </c>
      <c r="E20" s="11">
        <v>45577</v>
      </c>
      <c r="F20" s="11">
        <v>45735</v>
      </c>
      <c r="G20" s="11">
        <v>46100</v>
      </c>
      <c r="H20" t="s">
        <v>65</v>
      </c>
      <c r="I20" t="s">
        <v>358</v>
      </c>
    </row>
    <row r="21" spans="1:9" x14ac:dyDescent="0.25">
      <c r="A21" t="s">
        <v>1618</v>
      </c>
      <c r="B21" t="s">
        <v>1599</v>
      </c>
      <c r="C21" t="s">
        <v>1619</v>
      </c>
      <c r="D21" t="s">
        <v>74</v>
      </c>
      <c r="E21" s="11">
        <v>45604</v>
      </c>
      <c r="F21" s="11">
        <v>45849</v>
      </c>
      <c r="G21" s="11">
        <v>46214</v>
      </c>
      <c r="H21" t="s">
        <v>112</v>
      </c>
      <c r="I21" t="s">
        <v>373</v>
      </c>
    </row>
    <row r="22" spans="1:9" x14ac:dyDescent="0.25">
      <c r="A22" t="s">
        <v>1620</v>
      </c>
      <c r="B22" t="s">
        <v>1586</v>
      </c>
      <c r="C22" t="s">
        <v>1609</v>
      </c>
      <c r="D22" t="s">
        <v>66</v>
      </c>
      <c r="E22" s="11">
        <v>45620</v>
      </c>
      <c r="F22" s="11">
        <v>45942</v>
      </c>
      <c r="G22" s="11">
        <v>46307</v>
      </c>
      <c r="H22" t="s">
        <v>78</v>
      </c>
      <c r="I22" t="s">
        <v>373</v>
      </c>
    </row>
    <row r="23" spans="1:9" x14ac:dyDescent="0.25">
      <c r="A23" t="s">
        <v>1621</v>
      </c>
      <c r="B23" t="s">
        <v>1599</v>
      </c>
      <c r="C23" t="s">
        <v>1622</v>
      </c>
      <c r="D23" t="s">
        <v>61</v>
      </c>
      <c r="E23" s="11">
        <v>46198</v>
      </c>
      <c r="F23" s="11">
        <v>46532</v>
      </c>
      <c r="G23" s="11">
        <v>46897</v>
      </c>
      <c r="H23" t="s">
        <v>125</v>
      </c>
      <c r="I23" t="s">
        <v>408</v>
      </c>
    </row>
    <row r="24" spans="1:9" x14ac:dyDescent="0.25">
      <c r="A24" t="s">
        <v>1623</v>
      </c>
      <c r="B24" t="s">
        <v>1579</v>
      </c>
      <c r="C24" t="s">
        <v>1615</v>
      </c>
      <c r="D24" t="s">
        <v>66</v>
      </c>
      <c r="E24" s="11">
        <v>46162</v>
      </c>
      <c r="F24" s="11">
        <v>46323</v>
      </c>
      <c r="G24" s="11">
        <v>46688</v>
      </c>
      <c r="H24" t="s">
        <v>73</v>
      </c>
      <c r="I24" t="s">
        <v>373</v>
      </c>
    </row>
    <row r="25" spans="1:9" x14ac:dyDescent="0.25">
      <c r="A25" t="s">
        <v>1624</v>
      </c>
      <c r="B25" t="s">
        <v>1625</v>
      </c>
      <c r="C25" t="s">
        <v>1626</v>
      </c>
      <c r="D25" t="s">
        <v>61</v>
      </c>
      <c r="E25" s="11">
        <v>45880</v>
      </c>
      <c r="F25" s="11">
        <v>46052</v>
      </c>
      <c r="G25" s="11">
        <v>46417</v>
      </c>
      <c r="H25" t="s">
        <v>65</v>
      </c>
      <c r="I25" t="s">
        <v>391</v>
      </c>
    </row>
    <row r="26" spans="1:9" x14ac:dyDescent="0.25">
      <c r="A26" t="s">
        <v>1627</v>
      </c>
      <c r="B26" t="s">
        <v>1604</v>
      </c>
      <c r="C26" t="s">
        <v>1628</v>
      </c>
      <c r="D26" t="s">
        <v>74</v>
      </c>
      <c r="E26" s="11">
        <v>46161</v>
      </c>
      <c r="F26" s="11">
        <v>46465</v>
      </c>
      <c r="G26" s="11">
        <v>46830</v>
      </c>
      <c r="H26" t="s">
        <v>91</v>
      </c>
      <c r="I26" t="s">
        <v>408</v>
      </c>
    </row>
    <row r="27" spans="1:9" x14ac:dyDescent="0.25">
      <c r="A27" t="s">
        <v>1629</v>
      </c>
      <c r="B27" t="s">
        <v>1630</v>
      </c>
      <c r="C27" t="s">
        <v>1631</v>
      </c>
      <c r="D27" t="s">
        <v>74</v>
      </c>
      <c r="E27" s="11">
        <v>45708</v>
      </c>
      <c r="F27" s="11">
        <v>45960</v>
      </c>
      <c r="G27" s="11">
        <v>46325</v>
      </c>
      <c r="H27" t="s">
        <v>55</v>
      </c>
      <c r="I27" t="s">
        <v>365</v>
      </c>
    </row>
    <row r="28" spans="1:9" x14ac:dyDescent="0.25">
      <c r="A28" t="s">
        <v>1632</v>
      </c>
      <c r="B28" t="s">
        <v>1604</v>
      </c>
      <c r="C28" t="s">
        <v>1631</v>
      </c>
      <c r="D28" t="s">
        <v>56</v>
      </c>
      <c r="E28" s="11">
        <v>45854</v>
      </c>
      <c r="F28" s="11">
        <v>45865</v>
      </c>
      <c r="G28" s="11">
        <v>46230</v>
      </c>
      <c r="H28" t="s">
        <v>78</v>
      </c>
      <c r="I28" t="s">
        <v>408</v>
      </c>
    </row>
    <row r="29" spans="1:9" x14ac:dyDescent="0.25">
      <c r="A29" t="s">
        <v>1633</v>
      </c>
      <c r="B29" t="s">
        <v>410</v>
      </c>
      <c r="C29" t="s">
        <v>1634</v>
      </c>
      <c r="D29" t="s">
        <v>84</v>
      </c>
      <c r="E29" s="11">
        <v>45827</v>
      </c>
      <c r="F29" s="11">
        <v>45890</v>
      </c>
      <c r="G29" s="11">
        <v>46255</v>
      </c>
      <c r="H29" t="s">
        <v>73</v>
      </c>
      <c r="I29" t="s">
        <v>373</v>
      </c>
    </row>
    <row r="30" spans="1:9" x14ac:dyDescent="0.25">
      <c r="A30" t="s">
        <v>1635</v>
      </c>
      <c r="B30" t="s">
        <v>372</v>
      </c>
      <c r="C30" t="s">
        <v>1636</v>
      </c>
      <c r="D30" t="s">
        <v>74</v>
      </c>
      <c r="E30" s="11">
        <v>46026</v>
      </c>
      <c r="F30" s="11">
        <v>46120</v>
      </c>
      <c r="G30" s="11">
        <v>46485</v>
      </c>
      <c r="H30" t="s">
        <v>55</v>
      </c>
      <c r="I30" t="s">
        <v>358</v>
      </c>
    </row>
    <row r="31" spans="1:9" x14ac:dyDescent="0.25">
      <c r="A31" t="s">
        <v>1637</v>
      </c>
      <c r="B31" t="s">
        <v>1638</v>
      </c>
      <c r="C31" t="s">
        <v>1639</v>
      </c>
      <c r="D31" t="s">
        <v>84</v>
      </c>
      <c r="E31" s="11">
        <v>46201</v>
      </c>
      <c r="F31" s="11">
        <v>46478</v>
      </c>
      <c r="G31" s="11">
        <v>46843</v>
      </c>
      <c r="H31" t="s">
        <v>125</v>
      </c>
      <c r="I31" t="s">
        <v>391</v>
      </c>
    </row>
    <row r="32" spans="1:9" x14ac:dyDescent="0.25">
      <c r="A32" t="s">
        <v>1640</v>
      </c>
      <c r="B32" t="s">
        <v>1593</v>
      </c>
      <c r="C32" t="s">
        <v>1641</v>
      </c>
      <c r="D32" t="s">
        <v>66</v>
      </c>
      <c r="E32" s="11">
        <v>45817</v>
      </c>
      <c r="F32" s="11">
        <v>46176</v>
      </c>
      <c r="G32" s="11">
        <v>46541</v>
      </c>
      <c r="H32" t="s">
        <v>98</v>
      </c>
      <c r="I32" t="s">
        <v>358</v>
      </c>
    </row>
    <row r="33" spans="1:9" x14ac:dyDescent="0.25">
      <c r="A33" t="s">
        <v>1642</v>
      </c>
      <c r="B33" t="s">
        <v>1579</v>
      </c>
      <c r="C33" t="s">
        <v>1591</v>
      </c>
      <c r="D33" t="s">
        <v>56</v>
      </c>
      <c r="E33" s="11">
        <v>45880</v>
      </c>
      <c r="F33" s="11">
        <v>46082</v>
      </c>
      <c r="G33" s="11">
        <v>46447</v>
      </c>
      <c r="H33" t="s">
        <v>60</v>
      </c>
      <c r="I33" t="s">
        <v>362</v>
      </c>
    </row>
    <row r="34" spans="1:9" x14ac:dyDescent="0.25">
      <c r="A34" t="s">
        <v>1643</v>
      </c>
      <c r="B34" t="s">
        <v>410</v>
      </c>
      <c r="C34" t="s">
        <v>1644</v>
      </c>
      <c r="D34" t="s">
        <v>66</v>
      </c>
      <c r="E34" s="11">
        <v>45648</v>
      </c>
      <c r="F34" s="11">
        <v>45988</v>
      </c>
      <c r="G34" s="11">
        <v>46353</v>
      </c>
      <c r="H34" t="s">
        <v>78</v>
      </c>
      <c r="I34" t="s">
        <v>391</v>
      </c>
    </row>
    <row r="35" spans="1:9" x14ac:dyDescent="0.25">
      <c r="A35" t="s">
        <v>1645</v>
      </c>
      <c r="B35" t="s">
        <v>410</v>
      </c>
      <c r="C35" t="s">
        <v>1591</v>
      </c>
      <c r="D35" t="s">
        <v>66</v>
      </c>
      <c r="E35" s="11">
        <v>45922</v>
      </c>
      <c r="F35" s="11">
        <v>46251</v>
      </c>
      <c r="G35" s="11">
        <v>46616</v>
      </c>
      <c r="H35" t="s">
        <v>65</v>
      </c>
      <c r="I35" t="s">
        <v>369</v>
      </c>
    </row>
    <row r="36" spans="1:9" x14ac:dyDescent="0.25">
      <c r="A36" t="s">
        <v>1646</v>
      </c>
      <c r="B36" t="s">
        <v>1596</v>
      </c>
      <c r="C36" t="s">
        <v>1647</v>
      </c>
      <c r="D36" t="s">
        <v>61</v>
      </c>
      <c r="E36" s="11">
        <v>45755</v>
      </c>
      <c r="F36" s="11">
        <v>45784</v>
      </c>
      <c r="G36" s="11">
        <v>46149</v>
      </c>
      <c r="H36" t="s">
        <v>125</v>
      </c>
      <c r="I36" t="s">
        <v>362</v>
      </c>
    </row>
    <row r="37" spans="1:9" x14ac:dyDescent="0.25">
      <c r="A37" t="s">
        <v>1648</v>
      </c>
      <c r="B37" t="s">
        <v>1638</v>
      </c>
      <c r="C37" t="s">
        <v>1649</v>
      </c>
      <c r="D37" t="s">
        <v>66</v>
      </c>
      <c r="E37" s="11">
        <v>45741</v>
      </c>
      <c r="F37" s="11">
        <v>45888</v>
      </c>
      <c r="G37" s="11">
        <v>46253</v>
      </c>
      <c r="H37" t="s">
        <v>98</v>
      </c>
      <c r="I37" t="s">
        <v>419</v>
      </c>
    </row>
    <row r="38" spans="1:9" x14ac:dyDescent="0.25">
      <c r="A38" t="s">
        <v>1650</v>
      </c>
      <c r="B38" t="s">
        <v>1586</v>
      </c>
      <c r="C38" t="s">
        <v>1651</v>
      </c>
      <c r="D38" t="s">
        <v>56</v>
      </c>
      <c r="E38" s="11">
        <v>46191</v>
      </c>
      <c r="F38" s="11">
        <v>46426</v>
      </c>
      <c r="G38" s="11">
        <v>46791</v>
      </c>
      <c r="H38" t="s">
        <v>125</v>
      </c>
      <c r="I38" t="s">
        <v>391</v>
      </c>
    </row>
    <row r="39" spans="1:9" x14ac:dyDescent="0.25">
      <c r="A39" t="s">
        <v>1652</v>
      </c>
      <c r="B39" t="s">
        <v>1625</v>
      </c>
      <c r="C39" t="s">
        <v>1653</v>
      </c>
      <c r="D39" t="s">
        <v>61</v>
      </c>
      <c r="E39" s="11">
        <v>46033</v>
      </c>
      <c r="F39" s="11">
        <v>46361</v>
      </c>
      <c r="G39" s="11">
        <v>46726</v>
      </c>
      <c r="H39" t="s">
        <v>125</v>
      </c>
      <c r="I39" t="s">
        <v>419</v>
      </c>
    </row>
    <row r="40" spans="1:9" x14ac:dyDescent="0.25">
      <c r="A40" t="s">
        <v>1654</v>
      </c>
      <c r="B40" t="s">
        <v>1655</v>
      </c>
      <c r="C40" t="s">
        <v>1656</v>
      </c>
      <c r="D40" t="s">
        <v>56</v>
      </c>
      <c r="E40" s="11">
        <v>46099</v>
      </c>
      <c r="F40" s="11">
        <v>46135</v>
      </c>
      <c r="G40" s="11">
        <v>46500</v>
      </c>
      <c r="H40" t="s">
        <v>60</v>
      </c>
      <c r="I40" t="s">
        <v>362</v>
      </c>
    </row>
    <row r="41" spans="1:9" x14ac:dyDescent="0.25">
      <c r="A41" t="s">
        <v>1657</v>
      </c>
      <c r="B41" t="s">
        <v>1596</v>
      </c>
      <c r="C41" t="s">
        <v>1584</v>
      </c>
      <c r="D41" t="s">
        <v>61</v>
      </c>
      <c r="E41" s="11">
        <v>45845</v>
      </c>
      <c r="F41" s="11">
        <v>46025</v>
      </c>
      <c r="G41" s="11">
        <v>46390</v>
      </c>
      <c r="H41" t="s">
        <v>60</v>
      </c>
      <c r="I41" t="s">
        <v>362</v>
      </c>
    </row>
    <row r="42" spans="1:9" x14ac:dyDescent="0.25">
      <c r="A42" t="s">
        <v>1658</v>
      </c>
      <c r="B42" t="s">
        <v>1579</v>
      </c>
      <c r="C42" t="s">
        <v>1628</v>
      </c>
      <c r="D42" t="s">
        <v>66</v>
      </c>
      <c r="E42" s="11">
        <v>45899</v>
      </c>
      <c r="F42" s="11">
        <v>45961</v>
      </c>
      <c r="G42" s="11">
        <v>46326</v>
      </c>
      <c r="H42" t="s">
        <v>55</v>
      </c>
      <c r="I42" t="s">
        <v>358</v>
      </c>
    </row>
    <row r="43" spans="1:9" x14ac:dyDescent="0.25">
      <c r="A43" t="s">
        <v>1659</v>
      </c>
      <c r="B43" t="s">
        <v>1660</v>
      </c>
      <c r="C43" t="s">
        <v>1644</v>
      </c>
      <c r="D43" t="s">
        <v>61</v>
      </c>
      <c r="E43" s="11">
        <v>45508</v>
      </c>
      <c r="F43" s="11">
        <v>45703</v>
      </c>
      <c r="G43" s="11">
        <v>46068</v>
      </c>
      <c r="H43" t="s">
        <v>159</v>
      </c>
      <c r="I43" t="s">
        <v>362</v>
      </c>
    </row>
    <row r="44" spans="1:9" x14ac:dyDescent="0.25">
      <c r="A44" t="s">
        <v>1661</v>
      </c>
      <c r="B44" t="s">
        <v>1576</v>
      </c>
      <c r="C44" t="s">
        <v>1584</v>
      </c>
      <c r="D44" t="s">
        <v>61</v>
      </c>
      <c r="E44" s="11">
        <v>45825</v>
      </c>
      <c r="F44" s="11">
        <v>46126</v>
      </c>
      <c r="G44" s="11">
        <v>46491</v>
      </c>
      <c r="H44" t="s">
        <v>98</v>
      </c>
      <c r="I44" t="s">
        <v>391</v>
      </c>
    </row>
    <row r="45" spans="1:9" x14ac:dyDescent="0.25">
      <c r="A45" t="s">
        <v>1662</v>
      </c>
      <c r="B45" t="s">
        <v>1655</v>
      </c>
      <c r="C45" t="s">
        <v>1619</v>
      </c>
      <c r="D45" t="s">
        <v>66</v>
      </c>
      <c r="E45" s="11">
        <v>45895</v>
      </c>
      <c r="F45" s="11">
        <v>46119</v>
      </c>
      <c r="G45" s="11">
        <v>46484</v>
      </c>
      <c r="H45" t="s">
        <v>112</v>
      </c>
      <c r="I45" t="s">
        <v>365</v>
      </c>
    </row>
    <row r="46" spans="1:9" x14ac:dyDescent="0.25">
      <c r="A46" t="s">
        <v>1663</v>
      </c>
      <c r="B46" t="s">
        <v>1655</v>
      </c>
      <c r="C46" t="s">
        <v>1584</v>
      </c>
      <c r="D46" t="s">
        <v>84</v>
      </c>
      <c r="E46" s="11">
        <v>45934</v>
      </c>
      <c r="F46" s="11">
        <v>46041</v>
      </c>
      <c r="G46" s="11">
        <v>46406</v>
      </c>
      <c r="H46" t="s">
        <v>125</v>
      </c>
      <c r="I46" t="s">
        <v>365</v>
      </c>
    </row>
    <row r="47" spans="1:9" x14ac:dyDescent="0.25">
      <c r="A47" t="s">
        <v>1664</v>
      </c>
      <c r="B47" t="s">
        <v>1596</v>
      </c>
      <c r="C47" t="s">
        <v>1600</v>
      </c>
      <c r="D47" t="s">
        <v>74</v>
      </c>
      <c r="E47" s="11">
        <v>45510</v>
      </c>
      <c r="F47" s="11">
        <v>45723</v>
      </c>
      <c r="G47" s="11">
        <v>46088</v>
      </c>
      <c r="H47" t="s">
        <v>91</v>
      </c>
      <c r="I47" t="s">
        <v>408</v>
      </c>
    </row>
    <row r="48" spans="1:9" x14ac:dyDescent="0.25">
      <c r="A48" t="s">
        <v>1665</v>
      </c>
      <c r="B48" t="s">
        <v>1666</v>
      </c>
      <c r="C48" t="s">
        <v>1667</v>
      </c>
      <c r="D48" t="s">
        <v>66</v>
      </c>
      <c r="E48" s="11">
        <v>46096</v>
      </c>
      <c r="F48" s="11">
        <v>46111</v>
      </c>
      <c r="G48" s="11">
        <v>46476</v>
      </c>
      <c r="H48" t="s">
        <v>91</v>
      </c>
      <c r="I48" t="s">
        <v>358</v>
      </c>
    </row>
    <row r="49" spans="1:9" x14ac:dyDescent="0.25">
      <c r="A49" t="s">
        <v>1668</v>
      </c>
      <c r="B49" t="s">
        <v>1576</v>
      </c>
      <c r="C49" t="s">
        <v>1613</v>
      </c>
      <c r="D49" t="s">
        <v>66</v>
      </c>
      <c r="E49" s="11">
        <v>45593</v>
      </c>
      <c r="F49" s="11">
        <v>45790</v>
      </c>
      <c r="G49" s="11">
        <v>46155</v>
      </c>
      <c r="H49" t="s">
        <v>159</v>
      </c>
      <c r="I49" t="s">
        <v>391</v>
      </c>
    </row>
    <row r="50" spans="1:9" x14ac:dyDescent="0.25">
      <c r="A50" t="s">
        <v>1669</v>
      </c>
      <c r="B50" t="s">
        <v>1670</v>
      </c>
      <c r="C50" t="s">
        <v>1584</v>
      </c>
      <c r="D50" t="s">
        <v>84</v>
      </c>
      <c r="E50" s="11">
        <v>46000</v>
      </c>
      <c r="F50" s="11">
        <v>46289</v>
      </c>
      <c r="G50" s="11">
        <v>46654</v>
      </c>
      <c r="H50" t="s">
        <v>159</v>
      </c>
      <c r="I50" t="s">
        <v>419</v>
      </c>
    </row>
    <row r="51" spans="1:9" x14ac:dyDescent="0.25">
      <c r="A51" t="s">
        <v>1671</v>
      </c>
      <c r="B51" t="s">
        <v>1672</v>
      </c>
      <c r="C51" t="s">
        <v>1673</v>
      </c>
      <c r="D51" t="s">
        <v>74</v>
      </c>
      <c r="E51" s="11">
        <v>45743</v>
      </c>
      <c r="F51" s="11">
        <v>46047</v>
      </c>
      <c r="G51" s="11">
        <v>46412</v>
      </c>
      <c r="H51" t="s">
        <v>73</v>
      </c>
      <c r="I51" t="s">
        <v>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2278-8A6C-43FB-AE2E-26A3FF649087}">
  <sheetPr codeName="Sheet9"/>
  <dimension ref="A1:F101"/>
  <sheetViews>
    <sheetView workbookViewId="0"/>
  </sheetViews>
  <sheetFormatPr defaultRowHeight="15" x14ac:dyDescent="0.25"/>
  <cols>
    <col min="1" max="6" width="18.7109375" customWidth="1"/>
  </cols>
  <sheetData>
    <row r="1" spans="1:6" x14ac:dyDescent="0.25">
      <c r="A1" s="9" t="s">
        <v>351</v>
      </c>
      <c r="B1" s="9" t="s">
        <v>1674</v>
      </c>
      <c r="C1" s="9" t="s">
        <v>1675</v>
      </c>
      <c r="D1" s="9" t="s">
        <v>1676</v>
      </c>
      <c r="E1" s="9" t="s">
        <v>1677</v>
      </c>
      <c r="F1" s="9" t="s">
        <v>1678</v>
      </c>
    </row>
    <row r="2" spans="1:6" x14ac:dyDescent="0.25">
      <c r="A2" t="s">
        <v>358</v>
      </c>
      <c r="B2" t="s">
        <v>1679</v>
      </c>
      <c r="C2" t="s">
        <v>488</v>
      </c>
      <c r="D2" t="s">
        <v>336</v>
      </c>
      <c r="E2" t="s">
        <v>66</v>
      </c>
      <c r="F2" t="s">
        <v>1680</v>
      </c>
    </row>
    <row r="3" spans="1:6" x14ac:dyDescent="0.25">
      <c r="A3" t="s">
        <v>369</v>
      </c>
      <c r="B3" t="s">
        <v>1681</v>
      </c>
      <c r="C3" t="s">
        <v>500</v>
      </c>
      <c r="D3" t="s">
        <v>166</v>
      </c>
      <c r="E3" t="s">
        <v>61</v>
      </c>
      <c r="F3" t="s">
        <v>1682</v>
      </c>
    </row>
    <row r="4" spans="1:6" x14ac:dyDescent="0.25">
      <c r="A4" t="s">
        <v>419</v>
      </c>
      <c r="B4" t="s">
        <v>1683</v>
      </c>
      <c r="C4" t="s">
        <v>414</v>
      </c>
      <c r="D4" t="s">
        <v>93</v>
      </c>
      <c r="E4" t="s">
        <v>56</v>
      </c>
      <c r="F4" t="s">
        <v>1684</v>
      </c>
    </row>
    <row r="5" spans="1:6" x14ac:dyDescent="0.25">
      <c r="A5" t="s">
        <v>362</v>
      </c>
      <c r="B5" t="s">
        <v>1683</v>
      </c>
      <c r="C5" t="s">
        <v>534</v>
      </c>
      <c r="D5" t="s">
        <v>308</v>
      </c>
      <c r="E5" t="s">
        <v>74</v>
      </c>
      <c r="F5" t="s">
        <v>1685</v>
      </c>
    </row>
    <row r="6" spans="1:6" x14ac:dyDescent="0.25">
      <c r="A6" t="s">
        <v>369</v>
      </c>
      <c r="B6" t="s">
        <v>1686</v>
      </c>
      <c r="C6" t="s">
        <v>396</v>
      </c>
      <c r="D6" t="s">
        <v>311</v>
      </c>
      <c r="E6" t="s">
        <v>61</v>
      </c>
      <c r="F6" t="s">
        <v>1687</v>
      </c>
    </row>
    <row r="7" spans="1:6" x14ac:dyDescent="0.25">
      <c r="A7" t="s">
        <v>419</v>
      </c>
      <c r="B7" t="s">
        <v>1688</v>
      </c>
      <c r="C7" t="s">
        <v>464</v>
      </c>
      <c r="D7" t="s">
        <v>217</v>
      </c>
      <c r="E7" t="s">
        <v>84</v>
      </c>
      <c r="F7" t="s">
        <v>1689</v>
      </c>
    </row>
    <row r="8" spans="1:6" x14ac:dyDescent="0.25">
      <c r="A8" t="s">
        <v>419</v>
      </c>
      <c r="B8" t="s">
        <v>1681</v>
      </c>
      <c r="C8" t="s">
        <v>557</v>
      </c>
      <c r="D8" t="s">
        <v>334</v>
      </c>
      <c r="E8" t="s">
        <v>56</v>
      </c>
      <c r="F8" t="s">
        <v>1690</v>
      </c>
    </row>
    <row r="9" spans="1:6" x14ac:dyDescent="0.25">
      <c r="A9" t="s">
        <v>391</v>
      </c>
      <c r="B9" t="s">
        <v>1691</v>
      </c>
      <c r="C9" t="s">
        <v>378</v>
      </c>
      <c r="D9" t="s">
        <v>183</v>
      </c>
      <c r="E9" t="s">
        <v>61</v>
      </c>
      <c r="F9" t="s">
        <v>1692</v>
      </c>
    </row>
    <row r="10" spans="1:6" x14ac:dyDescent="0.25">
      <c r="A10" t="s">
        <v>358</v>
      </c>
      <c r="B10" t="s">
        <v>1683</v>
      </c>
      <c r="C10" t="s">
        <v>479</v>
      </c>
      <c r="D10" t="s">
        <v>242</v>
      </c>
      <c r="E10" t="s">
        <v>56</v>
      </c>
      <c r="F10" t="s">
        <v>1693</v>
      </c>
    </row>
    <row r="11" spans="1:6" x14ac:dyDescent="0.25">
      <c r="A11" t="s">
        <v>358</v>
      </c>
      <c r="B11" t="s">
        <v>1679</v>
      </c>
      <c r="C11" t="s">
        <v>411</v>
      </c>
      <c r="D11" t="s">
        <v>126</v>
      </c>
      <c r="E11" t="s">
        <v>66</v>
      </c>
      <c r="F11" t="s">
        <v>1694</v>
      </c>
    </row>
    <row r="12" spans="1:6" x14ac:dyDescent="0.25">
      <c r="A12" t="s">
        <v>362</v>
      </c>
      <c r="B12" t="s">
        <v>1686</v>
      </c>
      <c r="C12" t="s">
        <v>504</v>
      </c>
      <c r="D12" t="s">
        <v>92</v>
      </c>
      <c r="E12" t="s">
        <v>84</v>
      </c>
      <c r="F12" t="s">
        <v>1695</v>
      </c>
    </row>
    <row r="13" spans="1:6" x14ac:dyDescent="0.25">
      <c r="A13" t="s">
        <v>419</v>
      </c>
      <c r="B13" t="s">
        <v>1696</v>
      </c>
      <c r="C13" t="s">
        <v>371</v>
      </c>
      <c r="D13" t="s">
        <v>201</v>
      </c>
      <c r="E13" t="s">
        <v>61</v>
      </c>
      <c r="F13" t="s">
        <v>1697</v>
      </c>
    </row>
    <row r="14" spans="1:6" x14ac:dyDescent="0.25">
      <c r="A14" t="s">
        <v>365</v>
      </c>
      <c r="B14" t="s">
        <v>1683</v>
      </c>
      <c r="C14" t="s">
        <v>559</v>
      </c>
      <c r="D14" t="s">
        <v>305</v>
      </c>
      <c r="E14" t="s">
        <v>84</v>
      </c>
      <c r="F14" t="s">
        <v>1698</v>
      </c>
    </row>
    <row r="15" spans="1:6" x14ac:dyDescent="0.25">
      <c r="A15" t="s">
        <v>408</v>
      </c>
      <c r="B15" t="s">
        <v>1683</v>
      </c>
      <c r="C15" t="s">
        <v>480</v>
      </c>
      <c r="D15" t="s">
        <v>271</v>
      </c>
      <c r="E15" t="s">
        <v>66</v>
      </c>
      <c r="F15" t="s">
        <v>1699</v>
      </c>
    </row>
    <row r="16" spans="1:6" x14ac:dyDescent="0.25">
      <c r="A16" t="s">
        <v>365</v>
      </c>
      <c r="B16" t="s">
        <v>1700</v>
      </c>
      <c r="C16" t="s">
        <v>562</v>
      </c>
      <c r="D16" t="s">
        <v>111</v>
      </c>
      <c r="E16" t="s">
        <v>74</v>
      </c>
      <c r="F16" t="s">
        <v>1701</v>
      </c>
    </row>
    <row r="17" spans="1:6" x14ac:dyDescent="0.25">
      <c r="A17" t="s">
        <v>369</v>
      </c>
      <c r="B17" t="s">
        <v>1683</v>
      </c>
      <c r="C17" t="s">
        <v>561</v>
      </c>
      <c r="D17" t="s">
        <v>153</v>
      </c>
      <c r="E17" t="s">
        <v>74</v>
      </c>
      <c r="F17" t="s">
        <v>1702</v>
      </c>
    </row>
    <row r="18" spans="1:6" x14ac:dyDescent="0.25">
      <c r="A18" t="s">
        <v>358</v>
      </c>
      <c r="B18" t="s">
        <v>1703</v>
      </c>
      <c r="C18" t="s">
        <v>555</v>
      </c>
      <c r="D18" t="s">
        <v>333</v>
      </c>
      <c r="E18" t="s">
        <v>74</v>
      </c>
      <c r="F18" t="s">
        <v>1704</v>
      </c>
    </row>
    <row r="19" spans="1:6" x14ac:dyDescent="0.25">
      <c r="A19" t="s">
        <v>408</v>
      </c>
      <c r="B19" t="s">
        <v>1705</v>
      </c>
      <c r="C19" t="s">
        <v>546</v>
      </c>
      <c r="D19" t="s">
        <v>346</v>
      </c>
      <c r="E19" t="s">
        <v>61</v>
      </c>
      <c r="F19" t="s">
        <v>1706</v>
      </c>
    </row>
    <row r="20" spans="1:6" x14ac:dyDescent="0.25">
      <c r="A20" t="s">
        <v>358</v>
      </c>
      <c r="B20" t="s">
        <v>1691</v>
      </c>
      <c r="C20" t="s">
        <v>543</v>
      </c>
      <c r="D20" t="s">
        <v>251</v>
      </c>
      <c r="E20" t="s">
        <v>61</v>
      </c>
      <c r="F20" t="s">
        <v>1707</v>
      </c>
    </row>
    <row r="21" spans="1:6" x14ac:dyDescent="0.25">
      <c r="A21" t="s">
        <v>419</v>
      </c>
      <c r="B21" t="s">
        <v>1708</v>
      </c>
      <c r="C21" t="s">
        <v>528</v>
      </c>
      <c r="D21" t="s">
        <v>332</v>
      </c>
      <c r="E21" t="s">
        <v>56</v>
      </c>
      <c r="F21" t="s">
        <v>1709</v>
      </c>
    </row>
    <row r="22" spans="1:6" x14ac:dyDescent="0.25">
      <c r="A22" t="s">
        <v>419</v>
      </c>
      <c r="B22" t="s">
        <v>1710</v>
      </c>
      <c r="C22" t="s">
        <v>461</v>
      </c>
      <c r="D22" t="s">
        <v>247</v>
      </c>
      <c r="E22" t="s">
        <v>61</v>
      </c>
      <c r="F22" t="s">
        <v>1711</v>
      </c>
    </row>
    <row r="23" spans="1:6" x14ac:dyDescent="0.25">
      <c r="A23" t="s">
        <v>373</v>
      </c>
      <c r="B23" t="s">
        <v>1681</v>
      </c>
      <c r="C23" t="s">
        <v>505</v>
      </c>
      <c r="D23" t="s">
        <v>222</v>
      </c>
      <c r="E23" t="s">
        <v>74</v>
      </c>
      <c r="F23" t="s">
        <v>1712</v>
      </c>
    </row>
    <row r="24" spans="1:6" x14ac:dyDescent="0.25">
      <c r="A24" t="s">
        <v>373</v>
      </c>
      <c r="B24" t="s">
        <v>1681</v>
      </c>
      <c r="C24" t="s">
        <v>426</v>
      </c>
      <c r="D24" t="s">
        <v>289</v>
      </c>
      <c r="E24" t="s">
        <v>61</v>
      </c>
      <c r="F24" t="s">
        <v>1713</v>
      </c>
    </row>
    <row r="25" spans="1:6" x14ac:dyDescent="0.25">
      <c r="A25" t="s">
        <v>358</v>
      </c>
      <c r="B25" t="s">
        <v>1688</v>
      </c>
      <c r="C25" t="s">
        <v>420</v>
      </c>
      <c r="D25" t="s">
        <v>92</v>
      </c>
      <c r="E25" t="s">
        <v>66</v>
      </c>
      <c r="F25" t="s">
        <v>1714</v>
      </c>
    </row>
    <row r="26" spans="1:6" x14ac:dyDescent="0.25">
      <c r="A26" t="s">
        <v>362</v>
      </c>
      <c r="B26" t="s">
        <v>1705</v>
      </c>
      <c r="C26" t="s">
        <v>481</v>
      </c>
      <c r="D26" t="s">
        <v>294</v>
      </c>
      <c r="E26" t="s">
        <v>61</v>
      </c>
      <c r="F26" t="s">
        <v>1715</v>
      </c>
    </row>
    <row r="27" spans="1:6" x14ac:dyDescent="0.25">
      <c r="A27" t="s">
        <v>408</v>
      </c>
      <c r="B27" t="s">
        <v>1691</v>
      </c>
      <c r="C27" t="s">
        <v>435</v>
      </c>
      <c r="D27" t="s">
        <v>303</v>
      </c>
      <c r="E27" t="s">
        <v>61</v>
      </c>
      <c r="F27" t="s">
        <v>1716</v>
      </c>
    </row>
    <row r="28" spans="1:6" x14ac:dyDescent="0.25">
      <c r="A28" t="s">
        <v>408</v>
      </c>
      <c r="B28" t="s">
        <v>1705</v>
      </c>
      <c r="C28" t="s">
        <v>455</v>
      </c>
      <c r="D28" t="s">
        <v>294</v>
      </c>
      <c r="E28" t="s">
        <v>61</v>
      </c>
      <c r="F28" t="s">
        <v>1717</v>
      </c>
    </row>
    <row r="29" spans="1:6" x14ac:dyDescent="0.25">
      <c r="A29" t="s">
        <v>419</v>
      </c>
      <c r="B29" t="s">
        <v>1718</v>
      </c>
      <c r="C29" t="s">
        <v>455</v>
      </c>
      <c r="D29" t="s">
        <v>86</v>
      </c>
      <c r="E29" t="s">
        <v>61</v>
      </c>
      <c r="F29" t="s">
        <v>1719</v>
      </c>
    </row>
    <row r="30" spans="1:6" x14ac:dyDescent="0.25">
      <c r="A30" t="s">
        <v>419</v>
      </c>
      <c r="B30" t="s">
        <v>1688</v>
      </c>
      <c r="C30" t="s">
        <v>478</v>
      </c>
      <c r="D30" t="s">
        <v>202</v>
      </c>
      <c r="E30" t="s">
        <v>84</v>
      </c>
      <c r="F30" t="s">
        <v>1720</v>
      </c>
    </row>
    <row r="31" spans="1:6" x14ac:dyDescent="0.25">
      <c r="A31" t="s">
        <v>391</v>
      </c>
      <c r="B31" t="s">
        <v>1703</v>
      </c>
      <c r="C31" t="s">
        <v>396</v>
      </c>
      <c r="D31" t="s">
        <v>217</v>
      </c>
      <c r="E31" t="s">
        <v>61</v>
      </c>
      <c r="F31" t="s">
        <v>1721</v>
      </c>
    </row>
    <row r="32" spans="1:6" x14ac:dyDescent="0.25">
      <c r="A32" t="s">
        <v>419</v>
      </c>
      <c r="B32" t="s">
        <v>1683</v>
      </c>
      <c r="C32" t="s">
        <v>466</v>
      </c>
      <c r="D32" t="s">
        <v>163</v>
      </c>
      <c r="E32" t="s">
        <v>84</v>
      </c>
      <c r="F32" t="s">
        <v>1722</v>
      </c>
    </row>
    <row r="33" spans="1:6" x14ac:dyDescent="0.25">
      <c r="A33" t="s">
        <v>369</v>
      </c>
      <c r="B33" t="s">
        <v>1718</v>
      </c>
      <c r="C33" t="s">
        <v>460</v>
      </c>
      <c r="D33" t="s">
        <v>184</v>
      </c>
      <c r="E33" t="s">
        <v>56</v>
      </c>
      <c r="F33" t="s">
        <v>1723</v>
      </c>
    </row>
    <row r="34" spans="1:6" x14ac:dyDescent="0.25">
      <c r="A34" t="s">
        <v>391</v>
      </c>
      <c r="B34" t="s">
        <v>1686</v>
      </c>
      <c r="C34" t="s">
        <v>535</v>
      </c>
      <c r="D34" t="s">
        <v>255</v>
      </c>
      <c r="E34" t="s">
        <v>84</v>
      </c>
      <c r="F34" t="s">
        <v>1724</v>
      </c>
    </row>
    <row r="35" spans="1:6" x14ac:dyDescent="0.25">
      <c r="A35" t="s">
        <v>419</v>
      </c>
      <c r="B35" t="s">
        <v>1725</v>
      </c>
      <c r="C35" t="s">
        <v>374</v>
      </c>
      <c r="D35" t="s">
        <v>335</v>
      </c>
      <c r="E35" t="s">
        <v>84</v>
      </c>
      <c r="F35" t="s">
        <v>1726</v>
      </c>
    </row>
    <row r="36" spans="1:6" x14ac:dyDescent="0.25">
      <c r="A36" t="s">
        <v>391</v>
      </c>
      <c r="B36" t="s">
        <v>1683</v>
      </c>
      <c r="C36" t="s">
        <v>418</v>
      </c>
      <c r="D36" t="s">
        <v>305</v>
      </c>
      <c r="E36" t="s">
        <v>74</v>
      </c>
      <c r="F36" t="s">
        <v>1727</v>
      </c>
    </row>
    <row r="37" spans="1:6" x14ac:dyDescent="0.25">
      <c r="A37" t="s">
        <v>358</v>
      </c>
      <c r="B37" t="s">
        <v>1705</v>
      </c>
      <c r="C37" t="s">
        <v>469</v>
      </c>
      <c r="D37" t="s">
        <v>166</v>
      </c>
      <c r="E37" t="s">
        <v>74</v>
      </c>
      <c r="F37" t="s">
        <v>1728</v>
      </c>
    </row>
    <row r="38" spans="1:6" x14ac:dyDescent="0.25">
      <c r="A38" t="s">
        <v>369</v>
      </c>
      <c r="B38" t="s">
        <v>1708</v>
      </c>
      <c r="C38" t="s">
        <v>493</v>
      </c>
      <c r="D38" t="s">
        <v>290</v>
      </c>
      <c r="E38" t="s">
        <v>56</v>
      </c>
      <c r="F38" t="s">
        <v>1729</v>
      </c>
    </row>
    <row r="39" spans="1:6" x14ac:dyDescent="0.25">
      <c r="A39" t="s">
        <v>369</v>
      </c>
      <c r="B39" t="s">
        <v>1730</v>
      </c>
      <c r="C39" t="s">
        <v>510</v>
      </c>
      <c r="D39" t="s">
        <v>317</v>
      </c>
      <c r="E39" t="s">
        <v>61</v>
      </c>
      <c r="F39" t="s">
        <v>1731</v>
      </c>
    </row>
    <row r="40" spans="1:6" x14ac:dyDescent="0.25">
      <c r="A40" t="s">
        <v>408</v>
      </c>
      <c r="B40" t="s">
        <v>1708</v>
      </c>
      <c r="C40" t="s">
        <v>404</v>
      </c>
      <c r="D40" t="s">
        <v>166</v>
      </c>
      <c r="E40" t="s">
        <v>84</v>
      </c>
      <c r="F40" t="s">
        <v>1732</v>
      </c>
    </row>
    <row r="41" spans="1:6" x14ac:dyDescent="0.25">
      <c r="A41" t="s">
        <v>419</v>
      </c>
      <c r="B41" t="s">
        <v>1691</v>
      </c>
      <c r="C41" t="s">
        <v>534</v>
      </c>
      <c r="D41" t="s">
        <v>283</v>
      </c>
      <c r="E41" t="s">
        <v>74</v>
      </c>
      <c r="F41" t="s">
        <v>1733</v>
      </c>
    </row>
    <row r="42" spans="1:6" x14ac:dyDescent="0.25">
      <c r="A42" t="s">
        <v>419</v>
      </c>
      <c r="B42" t="s">
        <v>1710</v>
      </c>
      <c r="C42" t="s">
        <v>376</v>
      </c>
      <c r="D42" t="s">
        <v>221</v>
      </c>
      <c r="E42" t="s">
        <v>61</v>
      </c>
      <c r="F42" t="s">
        <v>1734</v>
      </c>
    </row>
    <row r="43" spans="1:6" x14ac:dyDescent="0.25">
      <c r="A43" t="s">
        <v>419</v>
      </c>
      <c r="B43" t="s">
        <v>1691</v>
      </c>
      <c r="C43" t="s">
        <v>499</v>
      </c>
      <c r="D43" t="s">
        <v>275</v>
      </c>
      <c r="E43" t="s">
        <v>61</v>
      </c>
      <c r="F43" t="s">
        <v>1735</v>
      </c>
    </row>
    <row r="44" spans="1:6" x14ac:dyDescent="0.25">
      <c r="A44" t="s">
        <v>362</v>
      </c>
      <c r="B44" t="s">
        <v>1725</v>
      </c>
      <c r="C44" t="s">
        <v>501</v>
      </c>
      <c r="D44" t="s">
        <v>234</v>
      </c>
      <c r="E44" t="s">
        <v>66</v>
      </c>
      <c r="F44" t="s">
        <v>1736</v>
      </c>
    </row>
    <row r="45" spans="1:6" x14ac:dyDescent="0.25">
      <c r="A45" t="s">
        <v>369</v>
      </c>
      <c r="B45" t="s">
        <v>1725</v>
      </c>
      <c r="C45" t="s">
        <v>478</v>
      </c>
      <c r="D45" t="s">
        <v>260</v>
      </c>
      <c r="E45" t="s">
        <v>56</v>
      </c>
      <c r="F45" t="s">
        <v>1737</v>
      </c>
    </row>
    <row r="46" spans="1:6" x14ac:dyDescent="0.25">
      <c r="A46" t="s">
        <v>365</v>
      </c>
      <c r="B46" t="s">
        <v>1725</v>
      </c>
      <c r="C46" t="s">
        <v>521</v>
      </c>
      <c r="D46" t="s">
        <v>318</v>
      </c>
      <c r="E46" t="s">
        <v>74</v>
      </c>
      <c r="F46" t="s">
        <v>1738</v>
      </c>
    </row>
    <row r="47" spans="1:6" x14ac:dyDescent="0.25">
      <c r="A47" t="s">
        <v>391</v>
      </c>
      <c r="B47" t="s">
        <v>1708</v>
      </c>
      <c r="C47" t="s">
        <v>363</v>
      </c>
      <c r="D47" t="s">
        <v>124</v>
      </c>
      <c r="E47" t="s">
        <v>84</v>
      </c>
      <c r="F47" t="s">
        <v>1739</v>
      </c>
    </row>
    <row r="48" spans="1:6" x14ac:dyDescent="0.25">
      <c r="A48" t="s">
        <v>365</v>
      </c>
      <c r="B48" t="s">
        <v>1696</v>
      </c>
      <c r="C48" t="s">
        <v>460</v>
      </c>
      <c r="D48" t="s">
        <v>183</v>
      </c>
      <c r="E48" t="s">
        <v>84</v>
      </c>
      <c r="F48" t="s">
        <v>1740</v>
      </c>
    </row>
    <row r="49" spans="1:6" x14ac:dyDescent="0.25">
      <c r="A49" t="s">
        <v>391</v>
      </c>
      <c r="B49" t="s">
        <v>1705</v>
      </c>
      <c r="C49" t="s">
        <v>530</v>
      </c>
      <c r="D49" t="s">
        <v>300</v>
      </c>
      <c r="E49" t="s">
        <v>61</v>
      </c>
      <c r="F49" t="s">
        <v>1741</v>
      </c>
    </row>
    <row r="50" spans="1:6" x14ac:dyDescent="0.25">
      <c r="A50" t="s">
        <v>419</v>
      </c>
      <c r="B50" t="s">
        <v>1725</v>
      </c>
      <c r="C50" t="s">
        <v>453</v>
      </c>
      <c r="D50" t="s">
        <v>190</v>
      </c>
      <c r="E50" t="s">
        <v>74</v>
      </c>
      <c r="F50" t="s">
        <v>1742</v>
      </c>
    </row>
    <row r="51" spans="1:6" x14ac:dyDescent="0.25">
      <c r="A51" t="s">
        <v>362</v>
      </c>
      <c r="B51" t="s">
        <v>1700</v>
      </c>
      <c r="C51" t="s">
        <v>490</v>
      </c>
      <c r="D51" t="s">
        <v>270</v>
      </c>
      <c r="E51" t="s">
        <v>61</v>
      </c>
      <c r="F51" t="s">
        <v>1743</v>
      </c>
    </row>
    <row r="52" spans="1:6" x14ac:dyDescent="0.25">
      <c r="A52" t="s">
        <v>365</v>
      </c>
      <c r="B52" t="s">
        <v>1705</v>
      </c>
      <c r="C52" t="s">
        <v>477</v>
      </c>
      <c r="D52" t="s">
        <v>284</v>
      </c>
      <c r="E52" t="s">
        <v>74</v>
      </c>
      <c r="F52" t="s">
        <v>1744</v>
      </c>
    </row>
    <row r="53" spans="1:6" x14ac:dyDescent="0.25">
      <c r="A53" t="s">
        <v>373</v>
      </c>
      <c r="B53" t="s">
        <v>1686</v>
      </c>
      <c r="C53" t="s">
        <v>445</v>
      </c>
      <c r="D53" t="s">
        <v>154</v>
      </c>
      <c r="E53" t="s">
        <v>84</v>
      </c>
      <c r="F53" t="s">
        <v>1745</v>
      </c>
    </row>
    <row r="54" spans="1:6" x14ac:dyDescent="0.25">
      <c r="A54" t="s">
        <v>419</v>
      </c>
      <c r="B54" t="s">
        <v>1691</v>
      </c>
      <c r="C54" t="s">
        <v>452</v>
      </c>
      <c r="D54" t="s">
        <v>128</v>
      </c>
      <c r="E54" t="s">
        <v>61</v>
      </c>
      <c r="F54" t="s">
        <v>1746</v>
      </c>
    </row>
    <row r="55" spans="1:6" x14ac:dyDescent="0.25">
      <c r="A55" t="s">
        <v>419</v>
      </c>
      <c r="B55" t="s">
        <v>1730</v>
      </c>
      <c r="C55" t="s">
        <v>442</v>
      </c>
      <c r="D55" t="s">
        <v>167</v>
      </c>
      <c r="E55" t="s">
        <v>84</v>
      </c>
      <c r="F55" t="s">
        <v>1747</v>
      </c>
    </row>
    <row r="56" spans="1:6" x14ac:dyDescent="0.25">
      <c r="A56" t="s">
        <v>408</v>
      </c>
      <c r="B56" t="s">
        <v>1700</v>
      </c>
      <c r="C56" t="s">
        <v>383</v>
      </c>
      <c r="D56" t="s">
        <v>162</v>
      </c>
      <c r="E56" t="s">
        <v>74</v>
      </c>
      <c r="F56" t="s">
        <v>1748</v>
      </c>
    </row>
    <row r="57" spans="1:6" x14ac:dyDescent="0.25">
      <c r="A57" t="s">
        <v>391</v>
      </c>
      <c r="B57" t="s">
        <v>1688</v>
      </c>
      <c r="C57" t="s">
        <v>424</v>
      </c>
      <c r="D57" t="s">
        <v>183</v>
      </c>
      <c r="E57" t="s">
        <v>56</v>
      </c>
      <c r="F57" t="s">
        <v>1749</v>
      </c>
    </row>
    <row r="58" spans="1:6" x14ac:dyDescent="0.25">
      <c r="A58" t="s">
        <v>419</v>
      </c>
      <c r="B58" t="s">
        <v>1703</v>
      </c>
      <c r="C58" t="s">
        <v>468</v>
      </c>
      <c r="D58" t="s">
        <v>271</v>
      </c>
      <c r="E58" t="s">
        <v>66</v>
      </c>
      <c r="F58" t="s">
        <v>1750</v>
      </c>
    </row>
    <row r="59" spans="1:6" x14ac:dyDescent="0.25">
      <c r="A59" t="s">
        <v>358</v>
      </c>
      <c r="B59" t="s">
        <v>1725</v>
      </c>
      <c r="C59" t="s">
        <v>425</v>
      </c>
      <c r="D59" t="s">
        <v>211</v>
      </c>
      <c r="E59" t="s">
        <v>84</v>
      </c>
      <c r="F59" t="s">
        <v>1751</v>
      </c>
    </row>
    <row r="60" spans="1:6" x14ac:dyDescent="0.25">
      <c r="A60" t="s">
        <v>419</v>
      </c>
      <c r="B60" t="s">
        <v>1705</v>
      </c>
      <c r="C60" t="s">
        <v>537</v>
      </c>
      <c r="D60" t="s">
        <v>319</v>
      </c>
      <c r="E60" t="s">
        <v>61</v>
      </c>
      <c r="F60" t="s">
        <v>1752</v>
      </c>
    </row>
    <row r="61" spans="1:6" x14ac:dyDescent="0.25">
      <c r="A61" t="s">
        <v>369</v>
      </c>
      <c r="B61" t="s">
        <v>1691</v>
      </c>
      <c r="C61" t="s">
        <v>494</v>
      </c>
      <c r="D61" t="s">
        <v>266</v>
      </c>
      <c r="E61" t="s">
        <v>74</v>
      </c>
      <c r="F61" t="s">
        <v>1753</v>
      </c>
    </row>
    <row r="62" spans="1:6" x14ac:dyDescent="0.25">
      <c r="A62" t="s">
        <v>373</v>
      </c>
      <c r="B62" t="s">
        <v>1679</v>
      </c>
      <c r="C62" t="s">
        <v>491</v>
      </c>
      <c r="D62" t="s">
        <v>269</v>
      </c>
      <c r="E62" t="s">
        <v>74</v>
      </c>
      <c r="F62" t="s">
        <v>1754</v>
      </c>
    </row>
    <row r="63" spans="1:6" x14ac:dyDescent="0.25">
      <c r="A63" t="s">
        <v>358</v>
      </c>
      <c r="B63" t="s">
        <v>1691</v>
      </c>
      <c r="C63" t="s">
        <v>507</v>
      </c>
      <c r="D63" t="s">
        <v>216</v>
      </c>
      <c r="E63" t="s">
        <v>66</v>
      </c>
      <c r="F63" t="s">
        <v>1755</v>
      </c>
    </row>
    <row r="64" spans="1:6" x14ac:dyDescent="0.25">
      <c r="A64" t="s">
        <v>419</v>
      </c>
      <c r="B64" t="s">
        <v>1679</v>
      </c>
      <c r="C64" t="s">
        <v>471</v>
      </c>
      <c r="D64" t="s">
        <v>280</v>
      </c>
      <c r="E64" t="s">
        <v>84</v>
      </c>
      <c r="F64" t="s">
        <v>1756</v>
      </c>
    </row>
    <row r="65" spans="1:6" x14ac:dyDescent="0.25">
      <c r="A65" t="s">
        <v>369</v>
      </c>
      <c r="B65" t="s">
        <v>1686</v>
      </c>
      <c r="C65" t="s">
        <v>396</v>
      </c>
      <c r="D65" t="s">
        <v>300</v>
      </c>
      <c r="E65" t="s">
        <v>61</v>
      </c>
      <c r="F65" t="s">
        <v>1757</v>
      </c>
    </row>
    <row r="66" spans="1:6" x14ac:dyDescent="0.25">
      <c r="A66" t="s">
        <v>373</v>
      </c>
      <c r="B66" t="s">
        <v>1691</v>
      </c>
      <c r="C66" t="s">
        <v>563</v>
      </c>
      <c r="D66" t="s">
        <v>308</v>
      </c>
      <c r="E66" t="s">
        <v>84</v>
      </c>
      <c r="F66" t="s">
        <v>1758</v>
      </c>
    </row>
    <row r="67" spans="1:6" x14ac:dyDescent="0.25">
      <c r="A67" t="s">
        <v>391</v>
      </c>
      <c r="B67" t="s">
        <v>1710</v>
      </c>
      <c r="C67" t="s">
        <v>406</v>
      </c>
      <c r="D67" t="s">
        <v>324</v>
      </c>
      <c r="E67" t="s">
        <v>66</v>
      </c>
      <c r="F67" t="s">
        <v>1759</v>
      </c>
    </row>
    <row r="68" spans="1:6" x14ac:dyDescent="0.25">
      <c r="A68" t="s">
        <v>369</v>
      </c>
      <c r="B68" t="s">
        <v>1679</v>
      </c>
      <c r="C68" t="s">
        <v>447</v>
      </c>
      <c r="D68" t="s">
        <v>230</v>
      </c>
      <c r="E68" t="s">
        <v>56</v>
      </c>
      <c r="F68" t="s">
        <v>1760</v>
      </c>
    </row>
    <row r="69" spans="1:6" x14ac:dyDescent="0.25">
      <c r="A69" t="s">
        <v>369</v>
      </c>
      <c r="B69" t="s">
        <v>1686</v>
      </c>
      <c r="C69" t="s">
        <v>420</v>
      </c>
      <c r="D69" t="s">
        <v>233</v>
      </c>
      <c r="E69" t="s">
        <v>66</v>
      </c>
      <c r="F69" t="s">
        <v>1761</v>
      </c>
    </row>
    <row r="70" spans="1:6" x14ac:dyDescent="0.25">
      <c r="A70" t="s">
        <v>365</v>
      </c>
      <c r="B70" t="s">
        <v>1681</v>
      </c>
      <c r="C70" t="s">
        <v>525</v>
      </c>
      <c r="D70" t="s">
        <v>283</v>
      </c>
      <c r="E70" t="s">
        <v>84</v>
      </c>
      <c r="F70" t="s">
        <v>1762</v>
      </c>
    </row>
    <row r="71" spans="1:6" x14ac:dyDescent="0.25">
      <c r="A71" t="s">
        <v>373</v>
      </c>
      <c r="B71" t="s">
        <v>1700</v>
      </c>
      <c r="C71" t="s">
        <v>501</v>
      </c>
      <c r="D71" t="s">
        <v>227</v>
      </c>
      <c r="E71" t="s">
        <v>84</v>
      </c>
      <c r="F71" t="s">
        <v>1763</v>
      </c>
    </row>
    <row r="72" spans="1:6" x14ac:dyDescent="0.25">
      <c r="A72" t="s">
        <v>365</v>
      </c>
      <c r="B72" t="s">
        <v>1696</v>
      </c>
      <c r="C72" t="s">
        <v>514</v>
      </c>
      <c r="D72" t="s">
        <v>281</v>
      </c>
      <c r="E72" t="s">
        <v>66</v>
      </c>
      <c r="F72" t="s">
        <v>1764</v>
      </c>
    </row>
    <row r="73" spans="1:6" x14ac:dyDescent="0.25">
      <c r="A73" t="s">
        <v>408</v>
      </c>
      <c r="B73" t="s">
        <v>1686</v>
      </c>
      <c r="C73" t="s">
        <v>363</v>
      </c>
      <c r="D73" t="s">
        <v>99</v>
      </c>
      <c r="E73" t="s">
        <v>84</v>
      </c>
      <c r="F73" t="s">
        <v>1765</v>
      </c>
    </row>
    <row r="74" spans="1:6" x14ac:dyDescent="0.25">
      <c r="A74" t="s">
        <v>408</v>
      </c>
      <c r="B74" t="s">
        <v>1730</v>
      </c>
      <c r="C74" t="s">
        <v>428</v>
      </c>
      <c r="D74" t="s">
        <v>277</v>
      </c>
      <c r="E74" t="s">
        <v>61</v>
      </c>
      <c r="F74" t="s">
        <v>1766</v>
      </c>
    </row>
    <row r="75" spans="1:6" x14ac:dyDescent="0.25">
      <c r="A75" t="s">
        <v>391</v>
      </c>
      <c r="B75" t="s">
        <v>1708</v>
      </c>
      <c r="C75" t="s">
        <v>489</v>
      </c>
      <c r="D75" t="s">
        <v>330</v>
      </c>
      <c r="E75" t="s">
        <v>61</v>
      </c>
      <c r="F75" t="s">
        <v>1767</v>
      </c>
    </row>
    <row r="76" spans="1:6" x14ac:dyDescent="0.25">
      <c r="A76" t="s">
        <v>358</v>
      </c>
      <c r="B76" t="s">
        <v>1679</v>
      </c>
      <c r="C76" t="s">
        <v>527</v>
      </c>
      <c r="D76" t="s">
        <v>275</v>
      </c>
      <c r="E76" t="s">
        <v>84</v>
      </c>
      <c r="F76" t="s">
        <v>1768</v>
      </c>
    </row>
    <row r="77" spans="1:6" x14ac:dyDescent="0.25">
      <c r="A77" t="s">
        <v>369</v>
      </c>
      <c r="B77" t="s">
        <v>1703</v>
      </c>
      <c r="C77" t="s">
        <v>355</v>
      </c>
      <c r="D77" t="s">
        <v>334</v>
      </c>
      <c r="E77" t="s">
        <v>84</v>
      </c>
      <c r="F77" t="s">
        <v>1769</v>
      </c>
    </row>
    <row r="78" spans="1:6" x14ac:dyDescent="0.25">
      <c r="A78" t="s">
        <v>391</v>
      </c>
      <c r="B78" t="s">
        <v>1681</v>
      </c>
      <c r="C78" t="s">
        <v>396</v>
      </c>
      <c r="D78" t="s">
        <v>191</v>
      </c>
      <c r="E78" t="s">
        <v>56</v>
      </c>
      <c r="F78" t="s">
        <v>1770</v>
      </c>
    </row>
    <row r="79" spans="1:6" x14ac:dyDescent="0.25">
      <c r="A79" t="s">
        <v>391</v>
      </c>
      <c r="B79" t="s">
        <v>1681</v>
      </c>
      <c r="C79" t="s">
        <v>514</v>
      </c>
      <c r="D79" t="s">
        <v>193</v>
      </c>
      <c r="E79" t="s">
        <v>56</v>
      </c>
      <c r="F79" t="s">
        <v>1771</v>
      </c>
    </row>
    <row r="80" spans="1:6" x14ac:dyDescent="0.25">
      <c r="A80" t="s">
        <v>391</v>
      </c>
      <c r="B80" t="s">
        <v>1705</v>
      </c>
      <c r="C80" t="s">
        <v>455</v>
      </c>
      <c r="D80" t="s">
        <v>103</v>
      </c>
      <c r="E80" t="s">
        <v>56</v>
      </c>
      <c r="F80" t="s">
        <v>1772</v>
      </c>
    </row>
    <row r="81" spans="1:6" x14ac:dyDescent="0.25">
      <c r="A81" t="s">
        <v>391</v>
      </c>
      <c r="B81" t="s">
        <v>1691</v>
      </c>
      <c r="C81" t="s">
        <v>494</v>
      </c>
      <c r="D81" t="s">
        <v>278</v>
      </c>
      <c r="E81" t="s">
        <v>56</v>
      </c>
      <c r="F81" t="s">
        <v>1773</v>
      </c>
    </row>
    <row r="82" spans="1:6" x14ac:dyDescent="0.25">
      <c r="A82" t="s">
        <v>391</v>
      </c>
      <c r="B82" t="s">
        <v>1686</v>
      </c>
      <c r="C82" t="s">
        <v>464</v>
      </c>
      <c r="D82" t="s">
        <v>71</v>
      </c>
      <c r="E82" t="s">
        <v>84</v>
      </c>
      <c r="F82" t="s">
        <v>1774</v>
      </c>
    </row>
    <row r="83" spans="1:6" x14ac:dyDescent="0.25">
      <c r="A83" t="s">
        <v>362</v>
      </c>
      <c r="B83" t="s">
        <v>1730</v>
      </c>
      <c r="C83" t="s">
        <v>536</v>
      </c>
      <c r="D83" t="s">
        <v>282</v>
      </c>
      <c r="E83" t="s">
        <v>66</v>
      </c>
      <c r="F83" t="s">
        <v>1775</v>
      </c>
    </row>
    <row r="84" spans="1:6" x14ac:dyDescent="0.25">
      <c r="A84" t="s">
        <v>419</v>
      </c>
      <c r="B84" t="s">
        <v>1691</v>
      </c>
      <c r="C84" t="s">
        <v>497</v>
      </c>
      <c r="D84" t="s">
        <v>256</v>
      </c>
      <c r="E84" t="s">
        <v>56</v>
      </c>
      <c r="F84" t="s">
        <v>1776</v>
      </c>
    </row>
    <row r="85" spans="1:6" x14ac:dyDescent="0.25">
      <c r="A85" t="s">
        <v>408</v>
      </c>
      <c r="B85" t="s">
        <v>1683</v>
      </c>
      <c r="C85" t="s">
        <v>389</v>
      </c>
      <c r="D85" t="s">
        <v>106</v>
      </c>
      <c r="E85" t="s">
        <v>84</v>
      </c>
      <c r="F85" t="s">
        <v>1777</v>
      </c>
    </row>
    <row r="86" spans="1:6" x14ac:dyDescent="0.25">
      <c r="A86" t="s">
        <v>362</v>
      </c>
      <c r="B86" t="s">
        <v>1681</v>
      </c>
      <c r="C86" t="s">
        <v>374</v>
      </c>
      <c r="D86" t="s">
        <v>284</v>
      </c>
      <c r="E86" t="s">
        <v>66</v>
      </c>
      <c r="F86" t="s">
        <v>1778</v>
      </c>
    </row>
    <row r="87" spans="1:6" x14ac:dyDescent="0.25">
      <c r="A87" t="s">
        <v>408</v>
      </c>
      <c r="B87" t="s">
        <v>1679</v>
      </c>
      <c r="C87" t="s">
        <v>542</v>
      </c>
      <c r="D87" t="s">
        <v>264</v>
      </c>
      <c r="E87" t="s">
        <v>74</v>
      </c>
      <c r="F87" t="s">
        <v>1779</v>
      </c>
    </row>
    <row r="88" spans="1:6" x14ac:dyDescent="0.25">
      <c r="A88" t="s">
        <v>358</v>
      </c>
      <c r="B88" t="s">
        <v>1730</v>
      </c>
      <c r="C88" t="s">
        <v>549</v>
      </c>
      <c r="D88" t="s">
        <v>335</v>
      </c>
      <c r="E88" t="s">
        <v>74</v>
      </c>
      <c r="F88" t="s">
        <v>1780</v>
      </c>
    </row>
    <row r="89" spans="1:6" x14ac:dyDescent="0.25">
      <c r="A89" t="s">
        <v>373</v>
      </c>
      <c r="B89" t="s">
        <v>1683</v>
      </c>
      <c r="C89" t="s">
        <v>363</v>
      </c>
      <c r="D89" t="s">
        <v>233</v>
      </c>
      <c r="E89" t="s">
        <v>61</v>
      </c>
      <c r="F89" t="s">
        <v>1781</v>
      </c>
    </row>
    <row r="90" spans="1:6" x14ac:dyDescent="0.25">
      <c r="A90" t="s">
        <v>408</v>
      </c>
      <c r="B90" t="s">
        <v>1686</v>
      </c>
      <c r="C90" t="s">
        <v>435</v>
      </c>
      <c r="D90" t="s">
        <v>106</v>
      </c>
      <c r="E90" t="s">
        <v>66</v>
      </c>
      <c r="F90" t="s">
        <v>1782</v>
      </c>
    </row>
    <row r="91" spans="1:6" x14ac:dyDescent="0.25">
      <c r="A91" t="s">
        <v>365</v>
      </c>
      <c r="B91" t="s">
        <v>1730</v>
      </c>
      <c r="C91" t="s">
        <v>406</v>
      </c>
      <c r="D91" t="s">
        <v>198</v>
      </c>
      <c r="E91" t="s">
        <v>84</v>
      </c>
      <c r="F91" t="s">
        <v>1783</v>
      </c>
    </row>
    <row r="92" spans="1:6" x14ac:dyDescent="0.25">
      <c r="A92" t="s">
        <v>365</v>
      </c>
      <c r="B92" t="s">
        <v>1696</v>
      </c>
      <c r="C92" t="s">
        <v>457</v>
      </c>
      <c r="D92" t="s">
        <v>62</v>
      </c>
      <c r="E92" t="s">
        <v>56</v>
      </c>
      <c r="F92" t="s">
        <v>1784</v>
      </c>
    </row>
    <row r="93" spans="1:6" x14ac:dyDescent="0.25">
      <c r="A93" t="s">
        <v>369</v>
      </c>
      <c r="B93" t="s">
        <v>1700</v>
      </c>
      <c r="C93" t="s">
        <v>464</v>
      </c>
      <c r="D93" t="s">
        <v>253</v>
      </c>
      <c r="E93" t="s">
        <v>66</v>
      </c>
      <c r="F93" t="s">
        <v>1785</v>
      </c>
    </row>
    <row r="94" spans="1:6" x14ac:dyDescent="0.25">
      <c r="A94" t="s">
        <v>391</v>
      </c>
      <c r="B94" t="s">
        <v>1688</v>
      </c>
      <c r="C94" t="s">
        <v>525</v>
      </c>
      <c r="D94" t="s">
        <v>298</v>
      </c>
      <c r="E94" t="s">
        <v>61</v>
      </c>
      <c r="F94" t="s">
        <v>1786</v>
      </c>
    </row>
    <row r="95" spans="1:6" x14ac:dyDescent="0.25">
      <c r="A95" t="s">
        <v>362</v>
      </c>
      <c r="B95" t="s">
        <v>1691</v>
      </c>
      <c r="C95" t="s">
        <v>380</v>
      </c>
      <c r="D95" t="s">
        <v>103</v>
      </c>
      <c r="E95" t="s">
        <v>74</v>
      </c>
      <c r="F95" t="s">
        <v>1787</v>
      </c>
    </row>
    <row r="96" spans="1:6" x14ac:dyDescent="0.25">
      <c r="A96" t="s">
        <v>373</v>
      </c>
      <c r="B96" t="s">
        <v>1703</v>
      </c>
      <c r="C96" t="s">
        <v>414</v>
      </c>
      <c r="D96" t="s">
        <v>187</v>
      </c>
      <c r="E96" t="s">
        <v>74</v>
      </c>
      <c r="F96" t="s">
        <v>1788</v>
      </c>
    </row>
    <row r="97" spans="1:6" x14ac:dyDescent="0.25">
      <c r="A97" t="s">
        <v>369</v>
      </c>
      <c r="B97" t="s">
        <v>1730</v>
      </c>
      <c r="C97" t="s">
        <v>505</v>
      </c>
      <c r="D97" t="s">
        <v>117</v>
      </c>
      <c r="E97" t="s">
        <v>56</v>
      </c>
      <c r="F97" t="s">
        <v>1789</v>
      </c>
    </row>
    <row r="98" spans="1:6" x14ac:dyDescent="0.25">
      <c r="A98" t="s">
        <v>365</v>
      </c>
      <c r="B98" t="s">
        <v>1708</v>
      </c>
      <c r="C98" t="s">
        <v>494</v>
      </c>
      <c r="D98" t="s">
        <v>105</v>
      </c>
      <c r="E98" t="s">
        <v>61</v>
      </c>
      <c r="F98" t="s">
        <v>1790</v>
      </c>
    </row>
    <row r="99" spans="1:6" x14ac:dyDescent="0.25">
      <c r="A99" t="s">
        <v>419</v>
      </c>
      <c r="B99" t="s">
        <v>1718</v>
      </c>
      <c r="C99" t="s">
        <v>536</v>
      </c>
      <c r="D99" t="s">
        <v>201</v>
      </c>
      <c r="E99" t="s">
        <v>66</v>
      </c>
      <c r="F99" t="s">
        <v>1791</v>
      </c>
    </row>
    <row r="100" spans="1:6" x14ac:dyDescent="0.25">
      <c r="A100" t="s">
        <v>408</v>
      </c>
      <c r="B100" t="s">
        <v>1688</v>
      </c>
      <c r="C100" t="s">
        <v>453</v>
      </c>
      <c r="D100" t="s">
        <v>289</v>
      </c>
      <c r="E100" t="s">
        <v>74</v>
      </c>
      <c r="F100" t="s">
        <v>1792</v>
      </c>
    </row>
    <row r="101" spans="1:6" x14ac:dyDescent="0.25">
      <c r="A101" t="s">
        <v>365</v>
      </c>
      <c r="B101" t="s">
        <v>1683</v>
      </c>
      <c r="C101" t="s">
        <v>431</v>
      </c>
      <c r="D101" t="s">
        <v>127</v>
      </c>
      <c r="E101" t="s">
        <v>61</v>
      </c>
      <c r="F101" t="s">
        <v>1793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730F-CE4C-49B8-9F62-6FA651AA284A}">
  <sheetPr codeName="Sheet10"/>
  <dimension ref="A1:M12"/>
  <sheetViews>
    <sheetView workbookViewId="0">
      <selection sqref="A1:M1"/>
    </sheetView>
  </sheetViews>
  <sheetFormatPr defaultRowHeight="15" x14ac:dyDescent="0.25"/>
  <cols>
    <col min="1" max="13" width="15.7109375" customWidth="1"/>
  </cols>
  <sheetData>
    <row r="1" spans="1:13" ht="39.950000000000003" customHeight="1" x14ac:dyDescent="0.5">
      <c r="A1" s="32" t="s">
        <v>1794</v>
      </c>
      <c r="B1" s="32"/>
      <c r="C1" s="32"/>
      <c r="D1" s="33"/>
      <c r="E1" s="32"/>
      <c r="F1" s="32"/>
      <c r="G1" s="32"/>
      <c r="H1" s="33"/>
      <c r="I1" s="32"/>
      <c r="J1" s="32"/>
      <c r="K1" s="32"/>
      <c r="L1" s="32"/>
      <c r="M1" s="32"/>
    </row>
    <row r="2" spans="1:13" x14ac:dyDescent="0.25">
      <c r="D2" s="18" t="s">
        <v>1402</v>
      </c>
      <c r="E2" s="18" t="s">
        <v>1800</v>
      </c>
      <c r="F2" s="18" t="s">
        <v>1801</v>
      </c>
      <c r="G2">
        <v>5</v>
      </c>
      <c r="H2" s="20" t="s">
        <v>1802</v>
      </c>
      <c r="I2" s="21">
        <f>COUNTIFS('2. Risk Register'!H:H,2,'2. Risk Register'!I:I,5)</f>
        <v>0</v>
      </c>
      <c r="J2" s="22">
        <f>COUNTIFS('2. Risk Register'!H:H,3,'2. Risk Register'!I:I,5)</f>
        <v>0</v>
      </c>
      <c r="K2" s="23">
        <f>COUNTIFS('2. Risk Register'!H:H,4,'2. Risk Register'!I:I,5)</f>
        <v>0</v>
      </c>
      <c r="L2" s="23">
        <f>COUNTIFS('2. Risk Register'!H:H,5,'2. Risk Register'!I:I,5)</f>
        <v>0</v>
      </c>
    </row>
    <row r="3" spans="1:13" ht="45" x14ac:dyDescent="0.25">
      <c r="A3" s="16" t="s">
        <v>1795</v>
      </c>
      <c r="B3" s="17">
        <f>COUNTA('2. Risk Register'!A:A)-1</f>
        <v>220</v>
      </c>
      <c r="D3" s="19" t="s">
        <v>122</v>
      </c>
      <c r="E3" s="19">
        <f>COUNTIF('2. Risk Register'!B:B,"Cybersecurity")</f>
        <v>20</v>
      </c>
      <c r="F3" s="19">
        <f>AVERAGEIF('2. Risk Register'!B:B,"Cybersecurity",'2. Risk Register'!J:J)</f>
        <v>3.1100000000000003</v>
      </c>
      <c r="G3" s="24" t="s">
        <v>1803</v>
      </c>
      <c r="H3" s="20">
        <f>COUNTIFS('2. Risk Register'!H:H,1,'2. Risk Register'!I:I,4)</f>
        <v>0</v>
      </c>
      <c r="I3" s="21">
        <f>COUNTIFS('2. Risk Register'!H:H,2,'2. Risk Register'!I:I,4)</f>
        <v>0</v>
      </c>
      <c r="J3" s="22">
        <f>COUNTIFS('2. Risk Register'!H:H,3,'2. Risk Register'!I:I,4)</f>
        <v>0</v>
      </c>
      <c r="K3" s="22">
        <f>COUNTIFS('2. Risk Register'!H:H,4,'2. Risk Register'!I:I,4)</f>
        <v>0</v>
      </c>
      <c r="L3" s="23">
        <f>COUNTIFS('2. Risk Register'!H:H,5,'2. Risk Register'!I:I,4)</f>
        <v>0</v>
      </c>
    </row>
    <row r="4" spans="1:13" ht="15.75" x14ac:dyDescent="0.25">
      <c r="A4" s="16" t="s">
        <v>1796</v>
      </c>
      <c r="B4" s="17">
        <f>COUNTIF('2. Risk Register'!O:O,"Critical")</f>
        <v>2</v>
      </c>
      <c r="D4" s="19" t="s">
        <v>76</v>
      </c>
      <c r="E4" s="19">
        <f>COUNTIF('2. Risk Register'!B:B,"Data Privacy")</f>
        <v>24</v>
      </c>
      <c r="F4" s="19">
        <f>AVERAGEIF('2. Risk Register'!B:B,"Data Privacy",'2. Risk Register'!J:J)</f>
        <v>1.8916666666666666</v>
      </c>
      <c r="G4">
        <v>3</v>
      </c>
      <c r="H4" s="20">
        <f>COUNTIFS('2. Risk Register'!H:H,1,'2. Risk Register'!I:I,3)</f>
        <v>2</v>
      </c>
      <c r="I4" s="21">
        <f>COUNTIFS('2. Risk Register'!H:H,2,'2. Risk Register'!I:I,3)</f>
        <v>0</v>
      </c>
      <c r="J4" s="21">
        <f>COUNTIFS('2. Risk Register'!H:H,3,'2. Risk Register'!I:I,3)</f>
        <v>1</v>
      </c>
      <c r="K4" s="22">
        <f>COUNTIFS('2. Risk Register'!H:H,4,'2. Risk Register'!I:I,3)</f>
        <v>0</v>
      </c>
      <c r="L4" s="22">
        <f>COUNTIFS('2. Risk Register'!H:H,5,'2. Risk Register'!I:I,3)</f>
        <v>0</v>
      </c>
    </row>
    <row r="5" spans="1:13" ht="15.75" x14ac:dyDescent="0.25">
      <c r="A5" s="16" t="s">
        <v>1797</v>
      </c>
      <c r="B5" s="17">
        <f>COUNTIF('4. Incident Log'!F:F,"Active")</f>
        <v>22</v>
      </c>
      <c r="D5" s="19" t="s">
        <v>107</v>
      </c>
      <c r="E5" s="19">
        <f>COUNTIF('2. Risk Register'!B:B,"Operational")</f>
        <v>24</v>
      </c>
      <c r="F5" s="19">
        <f>AVERAGEIF('2. Risk Register'!B:B,"Operational",'2. Risk Register'!J:J)</f>
        <v>2.5125000000000002</v>
      </c>
      <c r="G5">
        <v>2</v>
      </c>
      <c r="H5" s="20">
        <f>COUNTIFS('2. Risk Register'!H:H,1,'2. Risk Register'!I:I,2)</f>
        <v>3</v>
      </c>
      <c r="I5" s="20">
        <f>COUNTIFS('2. Risk Register'!H:H,2,'2. Risk Register'!I:I,2)</f>
        <v>0</v>
      </c>
      <c r="J5" s="21">
        <f>COUNTIFS('2. Risk Register'!H:H,3,'2. Risk Register'!I:I,2)</f>
        <v>0</v>
      </c>
      <c r="K5" s="21">
        <f>COUNTIFS('2. Risk Register'!H:H,4,'2. Risk Register'!I:I,2)</f>
        <v>0</v>
      </c>
      <c r="L5" s="21">
        <f>COUNTIFS('2. Risk Register'!H:H,5,'2. Risk Register'!I:I,2)</f>
        <v>0</v>
      </c>
    </row>
    <row r="6" spans="1:13" ht="15.75" x14ac:dyDescent="0.25">
      <c r="A6" s="16" t="s">
        <v>1798</v>
      </c>
      <c r="B6" s="17">
        <f>COUNTIF('8. Framework Mapping'!E:E,"Mitigated")/(COUNTA('8. Framework Mapping'!E:E)-1)</f>
        <v>0.27</v>
      </c>
      <c r="D6" s="19" t="s">
        <v>82</v>
      </c>
      <c r="E6" s="19">
        <f>COUNTIF('2. Risk Register'!B:B,"Financial")</f>
        <v>27</v>
      </c>
      <c r="F6" s="19">
        <f>AVERAGEIF('2. Risk Register'!B:B,"Financial",'2. Risk Register'!J:J)</f>
        <v>2.1481481481481479</v>
      </c>
      <c r="G6">
        <v>1</v>
      </c>
      <c r="H6" s="20">
        <f>COUNTIFS('2. Risk Register'!H:H,1,'2. Risk Register'!I:I,1)</f>
        <v>82</v>
      </c>
      <c r="I6" s="20">
        <f>COUNTIFS('2. Risk Register'!H:H,2,'2. Risk Register'!I:I,1)</f>
        <v>2</v>
      </c>
      <c r="J6" s="20">
        <f>COUNTIFS('2. Risk Register'!H:H,3,'2. Risk Register'!I:I,1)</f>
        <v>0</v>
      </c>
      <c r="K6" s="20">
        <f>COUNTIFS('2. Risk Register'!H:H,4,'2. Risk Register'!I:I,1)</f>
        <v>0</v>
      </c>
      <c r="L6" s="20">
        <f>COUNTIFS('2. Risk Register'!H:H,5,'2. Risk Register'!I:I,1)</f>
        <v>0</v>
      </c>
    </row>
    <row r="7" spans="1:13" ht="15.75" x14ac:dyDescent="0.25">
      <c r="A7" s="16" t="s">
        <v>1799</v>
      </c>
      <c r="B7" s="17">
        <f>COUNTA('6. Vendor Risk'!A:A)-1</f>
        <v>80</v>
      </c>
      <c r="D7" s="19" t="s">
        <v>141</v>
      </c>
      <c r="E7" s="19">
        <f>COUNTIF('2. Risk Register'!B:B,"Compliance")</f>
        <v>22</v>
      </c>
      <c r="F7" s="19">
        <f>AVERAGEIF('2. Risk Register'!B:B,"Compliance",'2. Risk Register'!J:J)</f>
        <v>2.25</v>
      </c>
    </row>
    <row r="8" spans="1:13" x14ac:dyDescent="0.25">
      <c r="D8" s="19" t="s">
        <v>89</v>
      </c>
      <c r="E8" s="19">
        <f>COUNTIF('2. Risk Register'!B:B,"Third-Party")</f>
        <v>18</v>
      </c>
      <c r="F8" s="19">
        <f>AVERAGEIF('2. Risk Register'!B:B,"Third-Party",'2. Risk Register'!J:J)</f>
        <v>2.7666666666666671</v>
      </c>
    </row>
    <row r="9" spans="1:13" x14ac:dyDescent="0.25">
      <c r="D9" s="19" t="s">
        <v>69</v>
      </c>
      <c r="E9" s="19">
        <f>COUNTIF('2. Risk Register'!B:B,"Technology")</f>
        <v>23</v>
      </c>
      <c r="F9" s="19">
        <f>AVERAGEIF('2. Risk Register'!B:B,"Technology",'2. Risk Register'!J:J)</f>
        <v>2.795652173913044</v>
      </c>
    </row>
    <row r="10" spans="1:13" x14ac:dyDescent="0.25">
      <c r="D10" s="19" t="s">
        <v>53</v>
      </c>
      <c r="E10" s="19">
        <f>COUNTIF('2. Risk Register'!B:B,"Human Resources")</f>
        <v>24</v>
      </c>
      <c r="F10" s="19">
        <f>AVERAGEIF('2. Risk Register'!B:B,"Human Resources",'2. Risk Register'!J:J)</f>
        <v>2.291666666666667</v>
      </c>
    </row>
    <row r="11" spans="1:13" x14ac:dyDescent="0.25">
      <c r="D11" s="19" t="s">
        <v>96</v>
      </c>
      <c r="E11" s="19">
        <f>COUNTIF('2. Risk Register'!B:B,"Legal")</f>
        <v>15</v>
      </c>
      <c r="F11" s="19">
        <f>AVERAGEIF('2. Risk Register'!B:B,"Legal",'2. Risk Register'!J:J)</f>
        <v>1.6</v>
      </c>
    </row>
    <row r="12" spans="1:13" x14ac:dyDescent="0.25">
      <c r="D12" s="19" t="s">
        <v>63</v>
      </c>
      <c r="E12" s="19">
        <f>COUNTIF('2. Risk Register'!B:B,"Strategic")</f>
        <v>23</v>
      </c>
      <c r="F12" s="19">
        <f>AVERAGEIF('2. Risk Register'!B:B,"Strategic",'2. Risk Register'!J:J)</f>
        <v>3.0826086956521737</v>
      </c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2BDA-D774-47D2-A025-73E220B0E5BE}">
  <sheetPr codeName="Sheet11"/>
  <dimension ref="A1:F9"/>
  <sheetViews>
    <sheetView workbookViewId="0"/>
  </sheetViews>
  <sheetFormatPr defaultRowHeight="15" x14ac:dyDescent="0.25"/>
  <cols>
    <col min="1" max="7" width="15.7109375" customWidth="1"/>
  </cols>
  <sheetData>
    <row r="1" spans="1:6" ht="26.25" x14ac:dyDescent="0.4">
      <c r="A1" s="25" t="s">
        <v>1804</v>
      </c>
    </row>
    <row r="2" spans="1:6" x14ac:dyDescent="0.25">
      <c r="B2">
        <v>1</v>
      </c>
      <c r="C2">
        <v>2</v>
      </c>
      <c r="D2">
        <v>3</v>
      </c>
      <c r="E2">
        <v>4</v>
      </c>
      <c r="F2">
        <v>5</v>
      </c>
    </row>
    <row r="3" spans="1:6" ht="18.75" x14ac:dyDescent="0.25">
      <c r="A3">
        <v>5</v>
      </c>
      <c r="B3" s="26">
        <f>COUNTIFS('2. Risk Register'!H:H,1,'2. Risk Register'!I:I,5)</f>
        <v>0</v>
      </c>
      <c r="C3" s="27">
        <f>COUNTIFS('2. Risk Register'!H:H,2,'2. Risk Register'!I:I,5)</f>
        <v>0</v>
      </c>
      <c r="D3" s="28">
        <f>COUNTIFS('2. Risk Register'!H:H,3,'2. Risk Register'!I:I,5)</f>
        <v>0</v>
      </c>
      <c r="E3" s="29">
        <f>COUNTIFS('2. Risk Register'!H:H,4,'2. Risk Register'!I:I,5)</f>
        <v>0</v>
      </c>
      <c r="F3" s="29">
        <f>COUNTIFS('2. Risk Register'!H:H,5,'2. Risk Register'!I:I,5)</f>
        <v>0</v>
      </c>
    </row>
    <row r="4" spans="1:6" ht="18.75" x14ac:dyDescent="0.25">
      <c r="A4">
        <v>4</v>
      </c>
      <c r="B4" s="26">
        <f>COUNTIFS('2. Risk Register'!H:H,1,'2. Risk Register'!I:I,4)</f>
        <v>0</v>
      </c>
      <c r="C4" s="27">
        <f>COUNTIFS('2. Risk Register'!H:H,2,'2. Risk Register'!I:I,4)</f>
        <v>0</v>
      </c>
      <c r="D4" s="28">
        <f>COUNTIFS('2. Risk Register'!H:H,3,'2. Risk Register'!I:I,4)</f>
        <v>0</v>
      </c>
      <c r="E4" s="28">
        <f>COUNTIFS('2. Risk Register'!H:H,4,'2. Risk Register'!I:I,4)</f>
        <v>0</v>
      </c>
      <c r="F4" s="29">
        <f>COUNTIFS('2. Risk Register'!H:H,5,'2. Risk Register'!I:I,4)</f>
        <v>0</v>
      </c>
    </row>
    <row r="5" spans="1:6" ht="18.75" x14ac:dyDescent="0.25">
      <c r="A5">
        <v>3</v>
      </c>
      <c r="B5" s="26">
        <f>COUNTIFS('2. Risk Register'!H:H,1,'2. Risk Register'!I:I,3)</f>
        <v>2</v>
      </c>
      <c r="C5" s="27">
        <f>COUNTIFS('2. Risk Register'!H:H,2,'2. Risk Register'!I:I,3)</f>
        <v>0</v>
      </c>
      <c r="D5" s="27">
        <f>COUNTIFS('2. Risk Register'!H:H,3,'2. Risk Register'!I:I,3)</f>
        <v>1</v>
      </c>
      <c r="E5" s="28">
        <f>COUNTIFS('2. Risk Register'!H:H,4,'2. Risk Register'!I:I,3)</f>
        <v>0</v>
      </c>
      <c r="F5" s="28">
        <f>COUNTIFS('2. Risk Register'!H:H,5,'2. Risk Register'!I:I,3)</f>
        <v>0</v>
      </c>
    </row>
    <row r="6" spans="1:6" ht="18.75" x14ac:dyDescent="0.25">
      <c r="A6">
        <v>2</v>
      </c>
      <c r="B6" s="26">
        <f>COUNTIFS('2. Risk Register'!H:H,1,'2. Risk Register'!I:I,2)</f>
        <v>3</v>
      </c>
      <c r="C6" s="26">
        <f>COUNTIFS('2. Risk Register'!H:H,2,'2. Risk Register'!I:I,2)</f>
        <v>0</v>
      </c>
      <c r="D6" s="27">
        <f>COUNTIFS('2. Risk Register'!H:H,3,'2. Risk Register'!I:I,2)</f>
        <v>0</v>
      </c>
      <c r="E6" s="27">
        <f>COUNTIFS('2. Risk Register'!H:H,4,'2. Risk Register'!I:I,2)</f>
        <v>0</v>
      </c>
      <c r="F6" s="27">
        <f>COUNTIFS('2. Risk Register'!H:H,5,'2. Risk Register'!I:I,2)</f>
        <v>0</v>
      </c>
    </row>
    <row r="7" spans="1:6" ht="18.75" x14ac:dyDescent="0.25">
      <c r="A7">
        <v>1</v>
      </c>
      <c r="B7" s="26">
        <f>COUNTIFS('2. Risk Register'!H:H,1,'2. Risk Register'!I:I,1)</f>
        <v>82</v>
      </c>
      <c r="C7" s="26">
        <f>COUNTIFS('2. Risk Register'!H:H,2,'2. Risk Register'!I:I,1)</f>
        <v>2</v>
      </c>
      <c r="D7" s="26">
        <f>COUNTIFS('2. Risk Register'!H:H,3,'2. Risk Register'!I:I,1)</f>
        <v>0</v>
      </c>
      <c r="E7" s="26">
        <f>COUNTIFS('2. Risk Register'!H:H,4,'2. Risk Register'!I:I,1)</f>
        <v>0</v>
      </c>
      <c r="F7" s="26">
        <f>COUNTIFS('2. Risk Register'!H:H,5,'2. Risk Register'!I:I,1)</f>
        <v>0</v>
      </c>
    </row>
    <row r="9" spans="1:6" x14ac:dyDescent="0.25">
      <c r="A9" s="5" t="s">
        <v>1805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C898-D664-41B4-8A39-2E7FE5841571}">
  <sheetPr codeName="Sheet12"/>
  <dimension ref="A1:E22"/>
  <sheetViews>
    <sheetView workbookViewId="0"/>
  </sheetViews>
  <sheetFormatPr defaultRowHeight="15" x14ac:dyDescent="0.25"/>
  <cols>
    <col min="1" max="5" width="20.7109375" customWidth="1"/>
  </cols>
  <sheetData>
    <row r="1" spans="1:5" ht="21" x14ac:dyDescent="0.35">
      <c r="A1" s="4" t="s">
        <v>1806</v>
      </c>
    </row>
    <row r="3" spans="1:5" x14ac:dyDescent="0.25">
      <c r="A3" s="9" t="s">
        <v>1807</v>
      </c>
      <c r="B3" s="9" t="s">
        <v>1808</v>
      </c>
      <c r="C3" s="9" t="s">
        <v>1809</v>
      </c>
      <c r="D3" s="9" t="s">
        <v>8</v>
      </c>
      <c r="E3" s="9" t="s">
        <v>1810</v>
      </c>
    </row>
    <row r="4" spans="1:5" x14ac:dyDescent="0.25">
      <c r="A4" t="s">
        <v>1811</v>
      </c>
      <c r="B4" t="s">
        <v>37</v>
      </c>
      <c r="C4" t="s">
        <v>1812</v>
      </c>
      <c r="D4" t="s">
        <v>1813</v>
      </c>
      <c r="E4" t="s">
        <v>52</v>
      </c>
    </row>
    <row r="5" spans="1:5" x14ac:dyDescent="0.25">
      <c r="A5" t="s">
        <v>1811</v>
      </c>
      <c r="B5" t="s">
        <v>38</v>
      </c>
      <c r="C5" t="s">
        <v>1812</v>
      </c>
      <c r="D5" t="s">
        <v>1814</v>
      </c>
      <c r="E5" t="s">
        <v>122</v>
      </c>
    </row>
    <row r="6" spans="1:5" x14ac:dyDescent="0.25">
      <c r="A6" t="s">
        <v>1811</v>
      </c>
      <c r="B6" t="s">
        <v>42</v>
      </c>
      <c r="C6" t="s">
        <v>1815</v>
      </c>
      <c r="D6" t="s">
        <v>36</v>
      </c>
      <c r="E6" s="30">
        <v>46047</v>
      </c>
    </row>
    <row r="7" spans="1:5" x14ac:dyDescent="0.25">
      <c r="A7" t="s">
        <v>1811</v>
      </c>
      <c r="B7" t="s">
        <v>46</v>
      </c>
      <c r="C7" t="s">
        <v>1815</v>
      </c>
      <c r="D7" t="s">
        <v>1816</v>
      </c>
      <c r="E7" s="30">
        <v>46047</v>
      </c>
    </row>
    <row r="8" spans="1:5" x14ac:dyDescent="0.25">
      <c r="A8" t="s">
        <v>1811</v>
      </c>
      <c r="B8" t="s">
        <v>51</v>
      </c>
      <c r="C8" t="s">
        <v>1812</v>
      </c>
      <c r="D8" t="s">
        <v>1817</v>
      </c>
      <c r="E8" t="s">
        <v>1412</v>
      </c>
    </row>
    <row r="9" spans="1:5" x14ac:dyDescent="0.25">
      <c r="A9" t="s">
        <v>1818</v>
      </c>
      <c r="B9" t="s">
        <v>348</v>
      </c>
      <c r="C9" t="s">
        <v>1812</v>
      </c>
      <c r="D9" t="s">
        <v>1813</v>
      </c>
      <c r="E9" t="s">
        <v>355</v>
      </c>
    </row>
    <row r="10" spans="1:5" x14ac:dyDescent="0.25">
      <c r="A10" t="s">
        <v>1818</v>
      </c>
      <c r="B10" t="s">
        <v>350</v>
      </c>
      <c r="C10" t="s">
        <v>1812</v>
      </c>
      <c r="D10" t="s">
        <v>1819</v>
      </c>
      <c r="E10" t="s">
        <v>361</v>
      </c>
    </row>
    <row r="11" spans="1:5" x14ac:dyDescent="0.25">
      <c r="A11" t="s">
        <v>1818</v>
      </c>
      <c r="B11" t="s">
        <v>352</v>
      </c>
      <c r="C11" t="s">
        <v>1820</v>
      </c>
      <c r="D11" t="s">
        <v>1821</v>
      </c>
      <c r="E11" s="10">
        <v>0.85</v>
      </c>
    </row>
    <row r="12" spans="1:5" x14ac:dyDescent="0.25">
      <c r="A12" t="s">
        <v>1822</v>
      </c>
      <c r="B12" t="s">
        <v>867</v>
      </c>
      <c r="C12" t="s">
        <v>1812</v>
      </c>
      <c r="D12" t="s">
        <v>1813</v>
      </c>
      <c r="E12" t="s">
        <v>875</v>
      </c>
    </row>
    <row r="13" spans="1:5" x14ac:dyDescent="0.25">
      <c r="A13" t="s">
        <v>1822</v>
      </c>
      <c r="B13" t="s">
        <v>1823</v>
      </c>
      <c r="C13" t="s">
        <v>1815</v>
      </c>
      <c r="D13" t="s">
        <v>1824</v>
      </c>
      <c r="E13">
        <v>3</v>
      </c>
    </row>
    <row r="14" spans="1:5" x14ac:dyDescent="0.25">
      <c r="A14" t="s">
        <v>1822</v>
      </c>
      <c r="B14" t="s">
        <v>1825</v>
      </c>
      <c r="C14" t="s">
        <v>1826</v>
      </c>
      <c r="D14" t="s">
        <v>1827</v>
      </c>
      <c r="E14" s="31">
        <v>50000</v>
      </c>
    </row>
    <row r="15" spans="1:5" x14ac:dyDescent="0.25">
      <c r="A15" t="s">
        <v>1828</v>
      </c>
      <c r="B15" t="s">
        <v>1195</v>
      </c>
      <c r="C15" t="s">
        <v>1812</v>
      </c>
      <c r="D15" t="s">
        <v>1813</v>
      </c>
      <c r="E15" t="s">
        <v>1204</v>
      </c>
    </row>
    <row r="16" spans="1:5" x14ac:dyDescent="0.25">
      <c r="A16" t="s">
        <v>1828</v>
      </c>
      <c r="B16" t="s">
        <v>1201</v>
      </c>
      <c r="C16" t="s">
        <v>1815</v>
      </c>
      <c r="D16" t="s">
        <v>1829</v>
      </c>
      <c r="E16">
        <v>5</v>
      </c>
    </row>
    <row r="17" spans="1:5" x14ac:dyDescent="0.25">
      <c r="A17" t="s">
        <v>1830</v>
      </c>
      <c r="B17" t="s">
        <v>1400</v>
      </c>
      <c r="C17" t="s">
        <v>1812</v>
      </c>
      <c r="D17" t="s">
        <v>1813</v>
      </c>
      <c r="E17" t="s">
        <v>1408</v>
      </c>
    </row>
    <row r="18" spans="1:5" x14ac:dyDescent="0.25">
      <c r="A18" t="s">
        <v>1830</v>
      </c>
      <c r="B18" t="s">
        <v>1404</v>
      </c>
      <c r="C18" t="s">
        <v>1815</v>
      </c>
      <c r="D18" t="s">
        <v>1831</v>
      </c>
      <c r="E18">
        <v>75</v>
      </c>
    </row>
    <row r="19" spans="1:5" x14ac:dyDescent="0.25">
      <c r="A19" t="s">
        <v>1832</v>
      </c>
      <c r="B19" t="s">
        <v>1570</v>
      </c>
      <c r="C19" t="s">
        <v>1812</v>
      </c>
      <c r="D19" t="s">
        <v>1813</v>
      </c>
      <c r="E19" t="s">
        <v>1575</v>
      </c>
    </row>
    <row r="20" spans="1:5" x14ac:dyDescent="0.25">
      <c r="A20" t="s">
        <v>1832</v>
      </c>
      <c r="B20" t="s">
        <v>1572</v>
      </c>
      <c r="C20" t="s">
        <v>1812</v>
      </c>
      <c r="D20" t="s">
        <v>1833</v>
      </c>
      <c r="E20" t="s">
        <v>1649</v>
      </c>
    </row>
    <row r="21" spans="1:5" x14ac:dyDescent="0.25">
      <c r="A21" t="s">
        <v>1834</v>
      </c>
      <c r="B21" t="s">
        <v>351</v>
      </c>
      <c r="C21" t="s">
        <v>1812</v>
      </c>
      <c r="D21" t="s">
        <v>1835</v>
      </c>
      <c r="E21" t="s">
        <v>1254</v>
      </c>
    </row>
    <row r="22" spans="1:5" x14ac:dyDescent="0.25">
      <c r="A22" t="s">
        <v>1834</v>
      </c>
      <c r="B22" t="s">
        <v>1677</v>
      </c>
      <c r="C22" t="s">
        <v>1812</v>
      </c>
      <c r="D22" t="s">
        <v>1836</v>
      </c>
      <c r="E22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D90A-1F81-4381-90DD-E5963B5F868B}">
  <sheetPr codeName="Sheet13"/>
  <dimension ref="A1:F4"/>
  <sheetViews>
    <sheetView workbookViewId="0"/>
  </sheetViews>
  <sheetFormatPr defaultRowHeight="15" x14ac:dyDescent="0.25"/>
  <sheetData>
    <row r="1" spans="1:6" ht="21" x14ac:dyDescent="0.35">
      <c r="A1" s="4" t="s">
        <v>1837</v>
      </c>
    </row>
    <row r="3" spans="1:6" x14ac:dyDescent="0.25">
      <c r="A3" s="9" t="s">
        <v>1838</v>
      </c>
      <c r="B3" s="9" t="s">
        <v>1839</v>
      </c>
      <c r="C3" s="9" t="s">
        <v>1840</v>
      </c>
      <c r="D3" s="9" t="s">
        <v>1841</v>
      </c>
      <c r="E3" s="9" t="s">
        <v>1842</v>
      </c>
      <c r="F3" s="9" t="s">
        <v>48</v>
      </c>
    </row>
    <row r="4" spans="1:6" x14ac:dyDescent="0.25">
      <c r="A4" t="s">
        <v>89</v>
      </c>
      <c r="B4">
        <v>19.5</v>
      </c>
      <c r="C4" s="1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0. Cover Page</vt:lpstr>
      <vt:lpstr>1. User Guide</vt:lpstr>
      <vt:lpstr>2. Risk Register</vt:lpstr>
      <vt:lpstr>3. Control Library</vt:lpstr>
      <vt:lpstr>4. Incident Log</vt:lpstr>
      <vt:lpstr>5. Audit Schedule</vt:lpstr>
      <vt:lpstr>6. Vendor Risk</vt:lpstr>
      <vt:lpstr>7. Policy Manager</vt:lpstr>
      <vt:lpstr>8. Framework Mapping</vt:lpstr>
      <vt:lpstr>9. Executive Dashboard</vt:lpstr>
      <vt:lpstr>10. Risk Heat Map</vt:lpstr>
      <vt:lpstr>11. Data Dictionary</vt:lpstr>
      <vt:lpstr>12. 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Lindiwe Audrey Mthembu</dc:creator>
  <cp:lastModifiedBy>Lindiwe Audrey Mthembu</cp:lastModifiedBy>
  <dcterms:created xsi:type="dcterms:W3CDTF">2026-07-29T15:22:52Z</dcterms:created>
  <dcterms:modified xsi:type="dcterms:W3CDTF">2026-08-01T13:37:46Z</dcterms:modified>
</cp:coreProperties>
</file>